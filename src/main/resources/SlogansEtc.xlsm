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65" windowWidth="22995" windowHeight="8190"/>
  </bookViews>
  <sheets>
    <sheet name="Main" sheetId="1" r:id="rId1"/>
    <sheet name="Sheet3" sheetId="3" r:id="rId2"/>
  </sheets>
  <functionGroups builtInGroupCount="17"/>
  <definedNames>
    <definedName name="_xlnm._FilterDatabase" localSheetId="0" hidden="1">Main!$A$1:$C$1</definedName>
  </definedNames>
  <calcPr calcId="145621"/>
</workbook>
</file>

<file path=xl/calcChain.xml><?xml version="1.0" encoding="utf-8"?>
<calcChain xmlns="http://schemas.openxmlformats.org/spreadsheetml/2006/main">
  <c r="B164" i="1" l="1"/>
  <c r="B312" i="1"/>
  <c r="B443" i="1"/>
  <c r="B9" i="1"/>
  <c r="B154" i="1"/>
  <c r="B28" i="1"/>
  <c r="B6" i="1"/>
  <c r="B39" i="1"/>
  <c r="B174" i="1"/>
  <c r="B14" i="1"/>
  <c r="B118" i="1"/>
  <c r="B394" i="1"/>
  <c r="B233" i="1"/>
  <c r="B298" i="1"/>
  <c r="B59" i="1"/>
  <c r="B146" i="1"/>
  <c r="B278" i="1"/>
  <c r="B453" i="1"/>
  <c r="B12" i="1"/>
  <c r="B227" i="1"/>
  <c r="B158" i="1"/>
  <c r="B435" i="1"/>
  <c r="B218" i="1"/>
  <c r="B365" i="1"/>
  <c r="B322" i="1"/>
  <c r="B128" i="1"/>
  <c r="B285" i="1"/>
  <c r="B282" i="1"/>
  <c r="B334" i="1"/>
  <c r="B143" i="1"/>
  <c r="B320" i="1"/>
  <c r="B504" i="1"/>
  <c r="B395" i="1"/>
  <c r="B87" i="1"/>
  <c r="B19" i="1"/>
  <c r="B260" i="1"/>
  <c r="B257" i="1"/>
  <c r="B250" i="1"/>
  <c r="B51" i="1"/>
  <c r="B378" i="1"/>
  <c r="B235" i="1"/>
  <c r="B314" i="1"/>
  <c r="B166" i="1"/>
  <c r="B247" i="1"/>
  <c r="B215" i="1"/>
  <c r="B100" i="1"/>
  <c r="B168" i="1"/>
  <c r="B385" i="1"/>
  <c r="B173" i="1"/>
  <c r="B274" i="1"/>
  <c r="B170" i="1"/>
  <c r="B63" i="1"/>
  <c r="B151" i="1"/>
  <c r="B323" i="1"/>
  <c r="B509" i="1"/>
  <c r="B94" i="1"/>
  <c r="B109" i="1"/>
  <c r="B189" i="1"/>
  <c r="B21" i="1"/>
  <c r="B78" i="1"/>
  <c r="B214" i="1"/>
  <c r="B162" i="1"/>
  <c r="B373" i="1"/>
  <c r="B269" i="1"/>
  <c r="B418" i="1"/>
  <c r="B343" i="1"/>
  <c r="B42" i="1"/>
  <c r="B507" i="1"/>
  <c r="B505" i="1"/>
  <c r="B10" i="1"/>
  <c r="B413" i="1"/>
  <c r="B494" i="1"/>
  <c r="B315" i="1"/>
  <c r="B374" i="1"/>
  <c r="B360" i="1"/>
  <c r="B224" i="1"/>
  <c r="B486" i="1"/>
  <c r="B140" i="1"/>
  <c r="B199" i="1"/>
  <c r="B462" i="1"/>
  <c r="B64" i="1"/>
  <c r="B74" i="1"/>
  <c r="B131" i="1"/>
  <c r="B153" i="1"/>
  <c r="B41" i="1"/>
  <c r="B135" i="1"/>
  <c r="B280" i="1"/>
  <c r="B382" i="1"/>
  <c r="B448" i="1"/>
  <c r="B34" i="1"/>
  <c r="B108" i="1"/>
  <c r="B400" i="1"/>
  <c r="B421" i="1"/>
  <c r="B202" i="1"/>
  <c r="B183" i="1"/>
  <c r="B355" i="1"/>
  <c r="B196" i="1"/>
  <c r="B186" i="1"/>
  <c r="B180" i="1"/>
  <c r="B331" i="1"/>
  <c r="B499" i="1"/>
  <c r="B429" i="1"/>
  <c r="B447" i="1"/>
  <c r="B73" i="1"/>
  <c r="B110" i="1"/>
  <c r="B481" i="1"/>
  <c r="B512" i="1"/>
  <c r="B122" i="1"/>
  <c r="B141" i="1"/>
  <c r="B145" i="1"/>
  <c r="B35" i="1"/>
  <c r="B496" i="1"/>
  <c r="B497" i="1"/>
  <c r="B498" i="1"/>
  <c r="B500" i="1"/>
  <c r="B501" i="1"/>
  <c r="B502" i="1"/>
  <c r="B503" i="1"/>
  <c r="B506" i="1"/>
  <c r="B508" i="1"/>
  <c r="B510" i="1"/>
  <c r="B511" i="1"/>
  <c r="B513" i="1"/>
  <c r="B514" i="1"/>
  <c r="B515" i="1"/>
  <c r="B516" i="1"/>
  <c r="B517" i="1"/>
  <c r="B518" i="1"/>
  <c r="B519" i="1"/>
  <c r="B185" i="1"/>
  <c r="B495" i="1"/>
  <c r="D257" i="1"/>
  <c r="D10" i="1"/>
  <c r="D499" i="1"/>
  <c r="D443" i="1"/>
  <c r="D227" i="1"/>
  <c r="D504" i="1"/>
  <c r="D373" i="1"/>
  <c r="D413" i="1"/>
  <c r="D462" i="1"/>
  <c r="D196" i="1"/>
  <c r="D247" i="1"/>
  <c r="D153" i="1"/>
  <c r="D331" i="1"/>
  <c r="D173" i="1"/>
  <c r="D199" i="1"/>
  <c r="D9" i="1"/>
  <c r="D158" i="1"/>
  <c r="D395" i="1"/>
  <c r="D274" i="1"/>
  <c r="D494" i="1"/>
  <c r="D34" i="1"/>
  <c r="D28" i="1"/>
  <c r="D378" i="1"/>
  <c r="D186" i="1"/>
  <c r="D6" i="1"/>
  <c r="D435" i="1"/>
  <c r="D63" i="1"/>
  <c r="D135" i="1"/>
  <c r="D174" i="1"/>
  <c r="D320" i="1"/>
  <c r="D421" i="1"/>
  <c r="D453" i="1"/>
  <c r="D168" i="1"/>
  <c r="D202" i="1"/>
  <c r="D73" i="1"/>
  <c r="D278" i="1"/>
  <c r="D51" i="1"/>
  <c r="D214" i="1"/>
  <c r="D140" i="1"/>
  <c r="D235" i="1"/>
  <c r="D355" i="1"/>
  <c r="D143" i="1"/>
  <c r="D250" i="1"/>
  <c r="D78" i="1"/>
  <c r="D486" i="1"/>
  <c r="D280" i="1"/>
  <c r="D183" i="1"/>
  <c r="D312" i="1"/>
  <c r="D189" i="1"/>
  <c r="D360" i="1"/>
  <c r="D35" i="1"/>
  <c r="D322" i="1"/>
  <c r="D509" i="1"/>
  <c r="D74" i="1"/>
  <c r="D110" i="1"/>
  <c r="D481" i="1"/>
  <c r="D365" i="1"/>
  <c r="D269" i="1"/>
  <c r="D64" i="1"/>
  <c r="D122" i="1"/>
  <c r="D19" i="1"/>
  <c r="D151" i="1"/>
  <c r="D108" i="1"/>
  <c r="D282" i="1"/>
  <c r="D21" i="1"/>
  <c r="D394" i="1"/>
  <c r="D400" i="1"/>
  <c r="D505" i="1"/>
  <c r="D447" i="1"/>
  <c r="D12" i="1"/>
  <c r="D162" i="1"/>
  <c r="D218" i="1"/>
  <c r="D314" i="1"/>
  <c r="D418" i="1"/>
  <c r="D131" i="1"/>
  <c r="D385" i="1"/>
  <c r="D382" i="1"/>
  <c r="D334" i="1"/>
  <c r="D154" i="1"/>
  <c r="D166" i="1"/>
  <c r="D343" i="1"/>
  <c r="D180" i="1"/>
  <c r="D315" i="1"/>
  <c r="D170" i="1"/>
  <c r="D118" i="1"/>
  <c r="D298" i="1"/>
  <c r="D59" i="1"/>
  <c r="D94" i="1"/>
  <c r="D141" i="1"/>
  <c r="D42" i="1"/>
  <c r="D146" i="1"/>
  <c r="D374" i="1"/>
  <c r="D145" i="1"/>
  <c r="D224" i="1"/>
  <c r="D39" i="1"/>
  <c r="D128" i="1"/>
  <c r="D215" i="1"/>
  <c r="D507" i="1"/>
  <c r="D41" i="1"/>
  <c r="D429" i="1"/>
  <c r="D14" i="1"/>
  <c r="D323" i="1"/>
  <c r="D285" i="1"/>
  <c r="D100" i="1"/>
  <c r="D233" i="1"/>
  <c r="D448" i="1"/>
  <c r="D164" i="1"/>
  <c r="D260" i="1"/>
  <c r="D109" i="1"/>
  <c r="D87" i="1"/>
  <c r="D512" i="1"/>
  <c r="E512" i="1" l="1"/>
  <c r="E87" i="1"/>
  <c r="E109" i="1"/>
  <c r="E260" i="1"/>
  <c r="E164" i="1"/>
  <c r="E448" i="1"/>
  <c r="E233" i="1"/>
  <c r="E100" i="1"/>
  <c r="E285" i="1"/>
  <c r="E323" i="1"/>
  <c r="E14" i="1"/>
  <c r="E429" i="1"/>
  <c r="E41" i="1"/>
  <c r="E507" i="1"/>
  <c r="E215" i="1"/>
  <c r="E128" i="1"/>
  <c r="E39" i="1"/>
  <c r="E224" i="1"/>
  <c r="E145" i="1"/>
  <c r="E374" i="1"/>
  <c r="E146" i="1"/>
  <c r="E42" i="1"/>
  <c r="E141" i="1"/>
  <c r="E94" i="1"/>
  <c r="E59" i="1"/>
  <c r="E298" i="1"/>
  <c r="E118" i="1"/>
  <c r="E170" i="1"/>
  <c r="E315" i="1"/>
  <c r="E180" i="1"/>
  <c r="E343" i="1"/>
  <c r="E166" i="1"/>
  <c r="E154" i="1"/>
  <c r="E334" i="1"/>
  <c r="E382" i="1"/>
  <c r="E385" i="1"/>
  <c r="E131" i="1"/>
  <c r="E418" i="1"/>
  <c r="E314" i="1"/>
  <c r="E218" i="1"/>
  <c r="E162" i="1"/>
  <c r="E12" i="1"/>
  <c r="E447" i="1"/>
  <c r="E505" i="1"/>
  <c r="E400" i="1"/>
  <c r="E394" i="1"/>
  <c r="E21" i="1"/>
  <c r="E282" i="1"/>
  <c r="E108" i="1"/>
  <c r="E151" i="1"/>
  <c r="E19" i="1"/>
  <c r="E122" i="1"/>
  <c r="E64" i="1"/>
  <c r="E269" i="1"/>
  <c r="E365" i="1"/>
  <c r="E481" i="1"/>
  <c r="E110" i="1"/>
  <c r="E74" i="1"/>
  <c r="E509" i="1"/>
  <c r="E322" i="1"/>
  <c r="E35" i="1"/>
  <c r="E360" i="1"/>
  <c r="E189" i="1"/>
  <c r="E312" i="1"/>
  <c r="E183" i="1"/>
  <c r="E280" i="1"/>
  <c r="E486" i="1"/>
  <c r="E78" i="1"/>
  <c r="E250" i="1"/>
  <c r="E143" i="1"/>
  <c r="E355" i="1"/>
  <c r="E235" i="1"/>
  <c r="E140" i="1"/>
  <c r="E214" i="1"/>
  <c r="E51" i="1"/>
  <c r="E278" i="1"/>
  <c r="E73" i="1"/>
  <c r="E202" i="1"/>
  <c r="E168" i="1"/>
  <c r="E453" i="1"/>
  <c r="E421" i="1"/>
  <c r="E320" i="1"/>
  <c r="E174" i="1"/>
  <c r="E135" i="1"/>
  <c r="E63" i="1"/>
  <c r="E435" i="1"/>
  <c r="E6" i="1"/>
  <c r="E186" i="1"/>
  <c r="E378" i="1"/>
  <c r="E28" i="1"/>
  <c r="E34" i="1"/>
  <c r="E494" i="1"/>
  <c r="E274" i="1"/>
  <c r="E395" i="1"/>
  <c r="E158" i="1"/>
  <c r="E9" i="1"/>
  <c r="E199" i="1"/>
  <c r="E173" i="1"/>
  <c r="E331" i="1"/>
  <c r="E153" i="1"/>
  <c r="E247" i="1"/>
  <c r="E196" i="1"/>
  <c r="E462" i="1"/>
  <c r="E413" i="1"/>
  <c r="E373" i="1"/>
  <c r="E504" i="1"/>
  <c r="E227" i="1"/>
  <c r="E443" i="1"/>
  <c r="E499" i="1"/>
  <c r="E10" i="1"/>
  <c r="E257" i="1"/>
  <c r="B3" i="1"/>
  <c r="B4" i="1"/>
  <c r="B5" i="1"/>
  <c r="B7" i="1"/>
  <c r="B8" i="1"/>
  <c r="B11" i="1"/>
  <c r="B13" i="1"/>
  <c r="B15" i="1"/>
  <c r="B16" i="1"/>
  <c r="B17" i="1"/>
  <c r="B18" i="1"/>
  <c r="B20" i="1"/>
  <c r="B22" i="1"/>
  <c r="B23" i="1"/>
  <c r="B24" i="1"/>
  <c r="B25" i="1"/>
  <c r="B26" i="1"/>
  <c r="B27" i="1"/>
  <c r="B29" i="1"/>
  <c r="B30" i="1"/>
  <c r="B31" i="1"/>
  <c r="B32" i="1"/>
  <c r="B33" i="1"/>
  <c r="B36" i="1"/>
  <c r="B37" i="1"/>
  <c r="B38" i="1"/>
  <c r="B40" i="1"/>
  <c r="B43" i="1"/>
  <c r="B44" i="1"/>
  <c r="B45" i="1"/>
  <c r="B46" i="1"/>
  <c r="B47" i="1"/>
  <c r="B48" i="1"/>
  <c r="B49" i="1"/>
  <c r="B50" i="1"/>
  <c r="B52" i="1"/>
  <c r="B53" i="1"/>
  <c r="B54" i="1"/>
  <c r="B55" i="1"/>
  <c r="B56" i="1"/>
  <c r="B57" i="1"/>
  <c r="B58" i="1"/>
  <c r="B60" i="1"/>
  <c r="B61" i="1"/>
  <c r="B62" i="1"/>
  <c r="B65" i="1"/>
  <c r="B66" i="1"/>
  <c r="B67" i="1"/>
  <c r="B68" i="1"/>
  <c r="B69" i="1"/>
  <c r="B70" i="1"/>
  <c r="B71" i="1"/>
  <c r="B72" i="1"/>
  <c r="B75" i="1"/>
  <c r="B76" i="1"/>
  <c r="B77" i="1"/>
  <c r="B79" i="1"/>
  <c r="B80" i="1"/>
  <c r="B81" i="1"/>
  <c r="B82" i="1"/>
  <c r="B83" i="1"/>
  <c r="B84" i="1"/>
  <c r="B85" i="1"/>
  <c r="B86" i="1"/>
  <c r="B88" i="1"/>
  <c r="B89" i="1"/>
  <c r="B90" i="1"/>
  <c r="B91" i="1"/>
  <c r="B92" i="1"/>
  <c r="B93" i="1"/>
  <c r="B95" i="1"/>
  <c r="B96" i="1"/>
  <c r="B97" i="1"/>
  <c r="B98" i="1"/>
  <c r="B99" i="1"/>
  <c r="B101" i="1"/>
  <c r="B102" i="1"/>
  <c r="B103" i="1"/>
  <c r="B104" i="1"/>
  <c r="B105" i="1"/>
  <c r="B106" i="1"/>
  <c r="B107" i="1"/>
  <c r="B111" i="1"/>
  <c r="B112" i="1"/>
  <c r="B113" i="1"/>
  <c r="B114" i="1"/>
  <c r="B115" i="1"/>
  <c r="B116" i="1"/>
  <c r="B117" i="1"/>
  <c r="B119" i="1"/>
  <c r="B120" i="1"/>
  <c r="B121" i="1"/>
  <c r="B123" i="1"/>
  <c r="B124" i="1"/>
  <c r="B125" i="1"/>
  <c r="B126" i="1"/>
  <c r="B127" i="1"/>
  <c r="B129" i="1"/>
  <c r="B130" i="1"/>
  <c r="B132" i="1"/>
  <c r="B133" i="1"/>
  <c r="B134" i="1"/>
  <c r="B136" i="1"/>
  <c r="B137" i="1"/>
  <c r="B138" i="1"/>
  <c r="B139" i="1"/>
  <c r="B142" i="1"/>
  <c r="B144" i="1"/>
  <c r="B147" i="1"/>
  <c r="B148" i="1"/>
  <c r="B149" i="1"/>
  <c r="B150" i="1"/>
  <c r="B152" i="1"/>
  <c r="B155" i="1"/>
  <c r="B156" i="1"/>
  <c r="B157" i="1"/>
  <c r="B159" i="1"/>
  <c r="B160" i="1"/>
  <c r="B161" i="1"/>
  <c r="B163" i="1"/>
  <c r="B165" i="1"/>
  <c r="B167" i="1"/>
  <c r="B169" i="1"/>
  <c r="B171" i="1"/>
  <c r="B172" i="1"/>
  <c r="B175" i="1"/>
  <c r="B176" i="1"/>
  <c r="B177" i="1"/>
  <c r="B178" i="1"/>
  <c r="B179" i="1"/>
  <c r="B181" i="1"/>
  <c r="B182" i="1"/>
  <c r="B184" i="1"/>
  <c r="B187" i="1"/>
  <c r="B188" i="1"/>
  <c r="B190" i="1"/>
  <c r="B191" i="1"/>
  <c r="B192" i="1"/>
  <c r="B193" i="1"/>
  <c r="B194" i="1"/>
  <c r="B195" i="1"/>
  <c r="B197" i="1"/>
  <c r="B198" i="1"/>
  <c r="B200" i="1"/>
  <c r="B201" i="1"/>
  <c r="B203" i="1"/>
  <c r="B204" i="1"/>
  <c r="B205" i="1"/>
  <c r="B206" i="1"/>
  <c r="B207" i="1"/>
  <c r="B208" i="1"/>
  <c r="B209" i="1"/>
  <c r="B210" i="1"/>
  <c r="B211" i="1"/>
  <c r="B212" i="1"/>
  <c r="B213" i="1"/>
  <c r="B216" i="1"/>
  <c r="B217" i="1"/>
  <c r="B219" i="1"/>
  <c r="B220" i="1"/>
  <c r="B221" i="1"/>
  <c r="B222" i="1"/>
  <c r="B223" i="1"/>
  <c r="B225" i="1"/>
  <c r="B226" i="1"/>
  <c r="B228" i="1"/>
  <c r="B229" i="1"/>
  <c r="B230" i="1"/>
  <c r="B231" i="1"/>
  <c r="B232" i="1"/>
  <c r="B234" i="1"/>
  <c r="B236" i="1"/>
  <c r="B237" i="1"/>
  <c r="B238" i="1"/>
  <c r="B239" i="1"/>
  <c r="B240" i="1"/>
  <c r="B241" i="1"/>
  <c r="B242" i="1"/>
  <c r="B243" i="1"/>
  <c r="B244" i="1"/>
  <c r="B245" i="1"/>
  <c r="B246" i="1"/>
  <c r="B248" i="1"/>
  <c r="B249" i="1"/>
  <c r="B251" i="1"/>
  <c r="B252" i="1"/>
  <c r="B253" i="1"/>
  <c r="B254" i="1"/>
  <c r="B255" i="1"/>
  <c r="B256" i="1"/>
  <c r="B258" i="1"/>
  <c r="B259" i="1"/>
  <c r="B261" i="1"/>
  <c r="B262" i="1"/>
  <c r="B263" i="1"/>
  <c r="B264" i="1"/>
  <c r="B265" i="1"/>
  <c r="B266" i="1"/>
  <c r="B267" i="1"/>
  <c r="B268" i="1"/>
  <c r="B270" i="1"/>
  <c r="B271" i="1"/>
  <c r="B272" i="1"/>
  <c r="B273" i="1"/>
  <c r="B275" i="1"/>
  <c r="B276" i="1"/>
  <c r="B277" i="1"/>
  <c r="B279" i="1"/>
  <c r="B281" i="1"/>
  <c r="B283" i="1"/>
  <c r="B284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3" i="1"/>
  <c r="B316" i="1"/>
  <c r="B317" i="1"/>
  <c r="B318" i="1"/>
  <c r="B319" i="1"/>
  <c r="B321" i="1"/>
  <c r="B324" i="1"/>
  <c r="B325" i="1"/>
  <c r="B326" i="1"/>
  <c r="B327" i="1"/>
  <c r="B328" i="1"/>
  <c r="B329" i="1"/>
  <c r="B330" i="1"/>
  <c r="B332" i="1"/>
  <c r="B333" i="1"/>
  <c r="B335" i="1"/>
  <c r="B336" i="1"/>
  <c r="B337" i="1"/>
  <c r="B338" i="1"/>
  <c r="B339" i="1"/>
  <c r="B340" i="1"/>
  <c r="B341" i="1"/>
  <c r="B342" i="1"/>
  <c r="B344" i="1"/>
  <c r="B345" i="1"/>
  <c r="B346" i="1"/>
  <c r="B347" i="1"/>
  <c r="B348" i="1"/>
  <c r="B349" i="1"/>
  <c r="B350" i="1"/>
  <c r="B351" i="1"/>
  <c r="B352" i="1"/>
  <c r="B353" i="1"/>
  <c r="B354" i="1"/>
  <c r="B356" i="1"/>
  <c r="B357" i="1"/>
  <c r="B358" i="1"/>
  <c r="B359" i="1"/>
  <c r="B361" i="1"/>
  <c r="B362" i="1"/>
  <c r="B363" i="1"/>
  <c r="B364" i="1"/>
  <c r="B366" i="1"/>
  <c r="B367" i="1"/>
  <c r="B368" i="1"/>
  <c r="B369" i="1"/>
  <c r="B370" i="1"/>
  <c r="B371" i="1"/>
  <c r="B372" i="1"/>
  <c r="B375" i="1"/>
  <c r="B376" i="1"/>
  <c r="B377" i="1"/>
  <c r="B379" i="1"/>
  <c r="B380" i="1"/>
  <c r="B381" i="1"/>
  <c r="B383" i="1"/>
  <c r="B384" i="1"/>
  <c r="B386" i="1"/>
  <c r="B387" i="1"/>
  <c r="B388" i="1"/>
  <c r="B389" i="1"/>
  <c r="B390" i="1"/>
  <c r="B391" i="1"/>
  <c r="B392" i="1"/>
  <c r="B393" i="1"/>
  <c r="B396" i="1"/>
  <c r="B397" i="1"/>
  <c r="B398" i="1"/>
  <c r="B399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4" i="1"/>
  <c r="B415" i="1"/>
  <c r="B416" i="1"/>
  <c r="B417" i="1"/>
  <c r="B419" i="1"/>
  <c r="B420" i="1"/>
  <c r="B422" i="1"/>
  <c r="B423" i="1"/>
  <c r="B424" i="1"/>
  <c r="B425" i="1"/>
  <c r="B426" i="1"/>
  <c r="B427" i="1"/>
  <c r="B428" i="1"/>
  <c r="B430" i="1"/>
  <c r="B431" i="1"/>
  <c r="B432" i="1"/>
  <c r="B433" i="1"/>
  <c r="B434" i="1"/>
  <c r="B436" i="1"/>
  <c r="B437" i="1"/>
  <c r="B438" i="1"/>
  <c r="B439" i="1"/>
  <c r="B440" i="1"/>
  <c r="B441" i="1"/>
  <c r="B442" i="1"/>
  <c r="B444" i="1"/>
  <c r="B445" i="1"/>
  <c r="B446" i="1"/>
  <c r="B449" i="1"/>
  <c r="B450" i="1"/>
  <c r="B451" i="1"/>
  <c r="B452" i="1"/>
  <c r="B454" i="1"/>
  <c r="B455" i="1"/>
  <c r="B456" i="1"/>
  <c r="B457" i="1"/>
  <c r="B458" i="1"/>
  <c r="B459" i="1"/>
  <c r="B460" i="1"/>
  <c r="B461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2" i="1"/>
  <c r="B483" i="1"/>
  <c r="B484" i="1"/>
  <c r="B485" i="1"/>
  <c r="B487" i="1"/>
  <c r="B488" i="1"/>
  <c r="B489" i="1"/>
  <c r="B490" i="1"/>
  <c r="B491" i="1"/>
  <c r="B492" i="1"/>
  <c r="B493" i="1"/>
  <c r="B2" i="1"/>
  <c r="D372" i="1"/>
  <c r="D200" i="1"/>
  <c r="D386" i="1"/>
  <c r="D482" i="1"/>
  <c r="D516" i="1"/>
  <c r="D423" i="1"/>
  <c r="D125" i="1"/>
  <c r="D353" i="1"/>
  <c r="D240" i="1"/>
  <c r="D390" i="1"/>
  <c r="D518" i="1"/>
  <c r="D300" i="1"/>
  <c r="D341" i="1"/>
  <c r="D336" i="1"/>
  <c r="D194" i="1"/>
  <c r="D289" i="1"/>
  <c r="D54" i="1"/>
  <c r="D500" i="1"/>
  <c r="D344" i="1"/>
  <c r="D89" i="1"/>
  <c r="D299" i="1"/>
  <c r="D121" i="1"/>
  <c r="D211" i="1"/>
  <c r="D293" i="1"/>
  <c r="D252" i="1"/>
  <c r="D185" i="1"/>
  <c r="E185" i="1" l="1"/>
  <c r="E386" i="1"/>
  <c r="E125" i="1"/>
  <c r="E252" i="1"/>
  <c r="E211" i="1"/>
  <c r="E482" i="1"/>
  <c r="E372" i="1"/>
  <c r="E500" i="1"/>
  <c r="E54" i="1"/>
  <c r="E336" i="1"/>
  <c r="E353" i="1"/>
  <c r="E344" i="1"/>
  <c r="E293" i="1"/>
  <c r="E516" i="1"/>
  <c r="E89" i="1"/>
  <c r="E341" i="1"/>
  <c r="E121" i="1"/>
  <c r="E200" i="1"/>
  <c r="E194" i="1"/>
  <c r="E423" i="1"/>
  <c r="E300" i="1"/>
  <c r="E299" i="1"/>
  <c r="E240" i="1"/>
  <c r="E390" i="1"/>
  <c r="E518" i="1"/>
  <c r="E289" i="1"/>
  <c r="D318" i="1"/>
  <c r="D266" i="1"/>
  <c r="D212" i="1"/>
  <c r="D195" i="1"/>
  <c r="D112" i="1"/>
  <c r="D310" i="1"/>
  <c r="D244" i="1"/>
  <c r="D124" i="1"/>
  <c r="D465" i="1"/>
  <c r="D159" i="1"/>
  <c r="D261" i="1"/>
  <c r="D307" i="1"/>
  <c r="D291" i="1"/>
  <c r="D281" i="1"/>
  <c r="D484" i="1"/>
  <c r="D83" i="1"/>
  <c r="D81" i="1"/>
  <c r="D163" i="1"/>
  <c r="D407" i="1"/>
  <c r="D178" i="1"/>
  <c r="D383" i="1"/>
  <c r="D471" i="1"/>
  <c r="D350" i="1"/>
  <c r="D477" i="1"/>
  <c r="D120" i="1"/>
  <c r="D18" i="1"/>
  <c r="D22" i="1"/>
  <c r="D167" i="1"/>
  <c r="D243" i="1"/>
  <c r="D410" i="1"/>
  <c r="D492" i="1"/>
  <c r="D85" i="1"/>
  <c r="D36" i="1"/>
  <c r="D313" i="1"/>
  <c r="D404" i="1"/>
  <c r="D204" i="1"/>
  <c r="D111" i="1"/>
  <c r="D436" i="1"/>
  <c r="D31" i="1"/>
  <c r="D7" i="1"/>
  <c r="D117" i="1"/>
  <c r="D328" i="1"/>
  <c r="D104" i="1"/>
  <c r="D483" i="1"/>
  <c r="D473" i="1"/>
  <c r="D187" i="1"/>
  <c r="D357" i="1"/>
  <c r="D155" i="1"/>
  <c r="D399" i="1"/>
  <c r="D25" i="1"/>
  <c r="D20" i="1"/>
  <c r="D234" i="1"/>
  <c r="D342" i="1"/>
  <c r="D130" i="1"/>
  <c r="D60" i="1"/>
  <c r="D294" i="1"/>
  <c r="D256" i="1"/>
  <c r="D160" i="1"/>
  <c r="D468" i="1"/>
  <c r="D177" i="1"/>
  <c r="D501" i="1"/>
  <c r="D511" i="1"/>
  <c r="D422" i="1"/>
  <c r="D432" i="1"/>
  <c r="D431" i="1"/>
  <c r="D242" i="1"/>
  <c r="D424" i="1"/>
  <c r="D136" i="1"/>
  <c r="D461" i="1"/>
  <c r="D253" i="1"/>
  <c r="D97" i="1"/>
  <c r="D62" i="1"/>
  <c r="D93" i="1"/>
  <c r="D469" i="1"/>
  <c r="D367" i="1"/>
  <c r="D86" i="1"/>
  <c r="D489" i="1"/>
  <c r="D381" i="1"/>
  <c r="D101" i="1"/>
  <c r="D267" i="1"/>
  <c r="D11" i="1"/>
  <c r="D393" i="1"/>
  <c r="D475" i="1"/>
  <c r="D221" i="1"/>
  <c r="D416" i="1"/>
  <c r="D349" i="1"/>
  <c r="D292" i="1"/>
  <c r="D232" i="1"/>
  <c r="D223" i="1"/>
  <c r="D476" i="1"/>
  <c r="D485" i="1"/>
  <c r="D217" i="1"/>
  <c r="D190" i="1"/>
  <c r="D197" i="1"/>
  <c r="D179" i="1"/>
  <c r="D96" i="1"/>
  <c r="D363" i="1"/>
  <c r="D451" i="1"/>
  <c r="D205" i="1"/>
  <c r="D456" i="1"/>
  <c r="D44" i="1"/>
  <c r="D458" i="1"/>
  <c r="D26" i="1"/>
  <c r="D17" i="1"/>
  <c r="D138" i="1"/>
  <c r="D181" i="1"/>
  <c r="D90" i="1"/>
  <c r="D239" i="1"/>
  <c r="D478" i="1"/>
  <c r="D348" i="1"/>
  <c r="D172" i="1"/>
  <c r="D255" i="1"/>
  <c r="D38" i="1"/>
  <c r="D420" i="1"/>
  <c r="D370" i="1"/>
  <c r="D304" i="1"/>
  <c r="D229" i="1"/>
  <c r="D254" i="1"/>
  <c r="D337" i="1"/>
  <c r="D271" i="1"/>
  <c r="D191" i="1"/>
  <c r="D126" i="1"/>
  <c r="D68" i="1"/>
  <c r="D40" i="1"/>
  <c r="D57" i="1"/>
  <c r="D487" i="1"/>
  <c r="D76" i="1"/>
  <c r="D496" i="1"/>
  <c r="D519" i="1"/>
  <c r="D510" i="1"/>
  <c r="D245" i="1"/>
  <c r="D503" i="1"/>
  <c r="D47" i="1"/>
  <c r="D362" i="1"/>
  <c r="D206" i="1"/>
  <c r="D50" i="1"/>
  <c r="D106" i="1"/>
  <c r="D193" i="1"/>
  <c r="D133" i="1"/>
  <c r="D330" i="1"/>
  <c r="D442" i="1"/>
  <c r="D192" i="1"/>
  <c r="D176" i="1"/>
  <c r="D454" i="1"/>
  <c r="D147" i="1"/>
  <c r="D32" i="1"/>
  <c r="D332" i="1"/>
  <c r="D249" i="1"/>
  <c r="D401" i="1"/>
  <c r="D95" i="1"/>
  <c r="D371" i="1"/>
  <c r="D248" i="1"/>
  <c r="D127" i="1"/>
  <c r="D335" i="1"/>
  <c r="D188" i="1"/>
  <c r="D279" i="1"/>
  <c r="D459" i="1"/>
  <c r="D309" i="1"/>
  <c r="D359" i="1"/>
  <c r="D65" i="1"/>
  <c r="D52" i="1"/>
  <c r="D61" i="1"/>
  <c r="D27" i="1"/>
  <c r="D491" i="1"/>
  <c r="D165" i="1"/>
  <c r="D236" i="1"/>
  <c r="D452" i="1"/>
  <c r="D88" i="1"/>
  <c r="D479" i="1"/>
  <c r="D30" i="1"/>
  <c r="D287" i="1"/>
  <c r="D376" i="1"/>
  <c r="D464" i="1"/>
  <c r="D303" i="1"/>
  <c r="D222" i="1"/>
  <c r="D23" i="1"/>
  <c r="D327" i="1"/>
  <c r="D84" i="1"/>
  <c r="D241" i="1"/>
  <c r="D493" i="1"/>
  <c r="D339" i="1"/>
  <c r="D272" i="1"/>
  <c r="D157" i="1"/>
  <c r="D488" i="1"/>
  <c r="D275" i="1"/>
  <c r="D150" i="1"/>
  <c r="D402" i="1"/>
  <c r="D129" i="1"/>
  <c r="D49" i="1"/>
  <c r="D439" i="1"/>
  <c r="D132" i="1"/>
  <c r="D33" i="1"/>
  <c r="D79" i="1"/>
  <c r="D377" i="1"/>
  <c r="D264" i="1"/>
  <c r="D137" i="1"/>
  <c r="D455" i="1"/>
  <c r="D92" i="1"/>
  <c r="D213" i="1"/>
  <c r="D48" i="1"/>
  <c r="D231" i="1"/>
  <c r="D417" i="1"/>
  <c r="D364" i="1"/>
  <c r="D4" i="1"/>
  <c r="D171" i="1"/>
  <c r="D82" i="1"/>
  <c r="D295" i="1"/>
  <c r="D268" i="1"/>
  <c r="D105" i="1"/>
  <c r="D319" i="1"/>
  <c r="D152" i="1"/>
  <c r="D391" i="1"/>
  <c r="D445" i="1"/>
  <c r="D91" i="1"/>
  <c r="D346" i="1"/>
  <c r="D66" i="1"/>
  <c r="D311" i="1"/>
  <c r="D69" i="1"/>
  <c r="D161" i="1"/>
  <c r="D258" i="1"/>
  <c r="D77" i="1"/>
  <c r="D265" i="1"/>
  <c r="D397" i="1"/>
  <c r="D99" i="1"/>
  <c r="D358" i="1"/>
  <c r="D369" i="1"/>
  <c r="D283" i="1"/>
  <c r="D392" i="1"/>
  <c r="D340" i="1"/>
  <c r="D329" i="1"/>
  <c r="D333" i="1"/>
  <c r="D380" i="1"/>
  <c r="D405" i="1"/>
  <c r="D384" i="1"/>
  <c r="D305" i="1"/>
  <c r="D324" i="1"/>
  <c r="D302" i="1"/>
  <c r="D286" i="1"/>
  <c r="D398" i="1"/>
  <c r="D216" i="1"/>
  <c r="D75" i="1"/>
  <c r="D219" i="1"/>
  <c r="D251" i="1"/>
  <c r="D113" i="1"/>
  <c r="D406" i="1"/>
  <c r="D387" i="1"/>
  <c r="D119" i="1"/>
  <c r="D53" i="1"/>
  <c r="D276" i="1"/>
  <c r="D379" i="1"/>
  <c r="D123" i="1"/>
  <c r="D361" i="1"/>
  <c r="D230" i="1"/>
  <c r="D184" i="1"/>
  <c r="D115" i="1"/>
  <c r="D463" i="1"/>
  <c r="D273" i="1"/>
  <c r="D70" i="1"/>
  <c r="D411" i="1"/>
  <c r="D498" i="1"/>
  <c r="D497" i="1"/>
  <c r="D470" i="1"/>
  <c r="D338" i="1"/>
  <c r="D225" i="1"/>
  <c r="D437" i="1"/>
  <c r="D297" i="1"/>
  <c r="D506" i="1"/>
  <c r="D515" i="1"/>
  <c r="E33" i="1" l="1"/>
  <c r="E265" i="1"/>
  <c r="E69" i="1"/>
  <c r="E455" i="1"/>
  <c r="E230" i="1"/>
  <c r="E358" i="1"/>
  <c r="E349" i="1"/>
  <c r="E192" i="1"/>
  <c r="E187" i="1"/>
  <c r="E484" i="1"/>
  <c r="E384" i="1"/>
  <c r="E310" i="1"/>
  <c r="E469" i="1"/>
  <c r="E377" i="1"/>
  <c r="E283" i="1"/>
  <c r="E304" i="1"/>
  <c r="E172" i="1"/>
  <c r="E160" i="1"/>
  <c r="E124" i="1"/>
  <c r="E328" i="1"/>
  <c r="E432" i="1"/>
  <c r="E150" i="1"/>
  <c r="E20" i="1"/>
  <c r="E213" i="1"/>
  <c r="E471" i="1"/>
  <c r="E338" i="1"/>
  <c r="E487" i="1"/>
  <c r="E167" i="1"/>
  <c r="E420" i="1"/>
  <c r="E193" i="1"/>
  <c r="E369" i="1"/>
  <c r="E136" i="1"/>
  <c r="E60" i="1"/>
  <c r="E113" i="1"/>
  <c r="E459" i="1"/>
  <c r="E489" i="1"/>
  <c r="E53" i="1"/>
  <c r="E267" i="1"/>
  <c r="E129" i="1"/>
  <c r="E485" i="1"/>
  <c r="E38" i="1"/>
  <c r="E463" i="1"/>
  <c r="E119" i="1"/>
  <c r="E261" i="1"/>
  <c r="E330" i="1"/>
  <c r="E222" i="1"/>
  <c r="E133" i="1"/>
  <c r="E217" i="1"/>
  <c r="E483" i="1"/>
  <c r="E181" i="1"/>
  <c r="E422" i="1"/>
  <c r="E406" i="1"/>
  <c r="E126" i="1"/>
  <c r="E506" i="1"/>
  <c r="E52" i="1"/>
  <c r="E404" i="1"/>
  <c r="E271" i="1"/>
  <c r="E83" i="1"/>
  <c r="E452" i="1"/>
  <c r="E76" i="1"/>
  <c r="E11" i="1"/>
  <c r="E454" i="1"/>
  <c r="E79" i="1"/>
  <c r="E515" i="1"/>
  <c r="E411" i="1"/>
  <c r="E407" i="1"/>
  <c r="E439" i="1"/>
  <c r="E436" i="1"/>
  <c r="E392" i="1"/>
  <c r="E493" i="1"/>
  <c r="E236" i="1"/>
  <c r="E17" i="1"/>
  <c r="E95" i="1"/>
  <c r="E96" i="1"/>
  <c r="E307" i="1"/>
  <c r="E397" i="1"/>
  <c r="E359" i="1"/>
  <c r="E258" i="1"/>
  <c r="E155" i="1"/>
  <c r="E416" i="1"/>
  <c r="E157" i="1"/>
  <c r="E31" i="1"/>
  <c r="E324" i="1"/>
  <c r="E387" i="1"/>
  <c r="E66" i="1"/>
  <c r="E22" i="1"/>
  <c r="E393" i="1"/>
  <c r="E159" i="1"/>
  <c r="E86" i="1"/>
  <c r="E350" i="1"/>
  <c r="E287" i="1"/>
  <c r="E302" i="1"/>
  <c r="E85" i="1"/>
  <c r="E27" i="1"/>
  <c r="E473" i="1"/>
  <c r="E442" i="1"/>
  <c r="E279" i="1"/>
  <c r="E232" i="1"/>
  <c r="E477" i="1"/>
  <c r="E30" i="1"/>
  <c r="E498" i="1"/>
  <c r="E424" i="1"/>
  <c r="E195" i="1"/>
  <c r="E431" i="1"/>
  <c r="E346" i="1"/>
  <c r="E488" i="1"/>
  <c r="E61" i="1"/>
  <c r="E291" i="1"/>
  <c r="E295" i="1"/>
  <c r="E461" i="1"/>
  <c r="E4" i="1"/>
  <c r="E75" i="1"/>
  <c r="E342" i="1"/>
  <c r="E318" i="1"/>
  <c r="E327" i="1"/>
  <c r="E399" i="1"/>
  <c r="E465" i="1"/>
  <c r="E115" i="1"/>
  <c r="E405" i="1"/>
  <c r="E177" i="1"/>
  <c r="E417" i="1"/>
  <c r="E152" i="1"/>
  <c r="E254" i="1"/>
  <c r="E223" i="1"/>
  <c r="E92" i="1"/>
  <c r="E496" i="1"/>
  <c r="E26" i="1"/>
  <c r="E362" i="1"/>
  <c r="E191" i="1"/>
  <c r="E398" i="1"/>
  <c r="E340" i="1"/>
  <c r="E225" i="1"/>
  <c r="E105" i="1"/>
  <c r="E402" i="1"/>
  <c r="E380" i="1"/>
  <c r="E292" i="1"/>
  <c r="E272" i="1"/>
  <c r="E50" i="1"/>
  <c r="E91" i="1"/>
  <c r="E163" i="1"/>
  <c r="E464" i="1"/>
  <c r="E305" i="1"/>
  <c r="E491" i="1"/>
  <c r="E62" i="1"/>
  <c r="E127" i="1"/>
  <c r="E266" i="1"/>
  <c r="E479" i="1"/>
  <c r="E311" i="1"/>
  <c r="E475" i="1"/>
  <c r="E276" i="1"/>
  <c r="E470" i="1"/>
  <c r="E219" i="1"/>
  <c r="E178" i="1"/>
  <c r="E348" i="1"/>
  <c r="E335" i="1"/>
  <c r="E120" i="1"/>
  <c r="E379" i="1"/>
  <c r="E25" i="1"/>
  <c r="E229" i="1"/>
  <c r="E376" i="1"/>
  <c r="E68" i="1"/>
  <c r="E275" i="1"/>
  <c r="E339" i="1"/>
  <c r="E370" i="1"/>
  <c r="E319" i="1"/>
  <c r="E286" i="1"/>
  <c r="E90" i="1"/>
  <c r="E197" i="1"/>
  <c r="E112" i="1"/>
  <c r="E253" i="1"/>
  <c r="E84" i="1"/>
  <c r="E137" i="1"/>
  <c r="E363" i="1"/>
  <c r="E190" i="1"/>
  <c r="E391" i="1"/>
  <c r="E216" i="1"/>
  <c r="E357" i="1"/>
  <c r="E456" i="1"/>
  <c r="E511" i="1"/>
  <c r="E451" i="1"/>
  <c r="E371" i="1"/>
  <c r="E205" i="1"/>
  <c r="E77" i="1"/>
  <c r="E244" i="1"/>
  <c r="E65" i="1"/>
  <c r="E123" i="1"/>
  <c r="E171" i="1"/>
  <c r="E256" i="1"/>
  <c r="E501" i="1"/>
  <c r="E165" i="1"/>
  <c r="E147" i="1"/>
  <c r="E337" i="1"/>
  <c r="E88" i="1"/>
  <c r="E329" i="1"/>
  <c r="E503" i="1"/>
  <c r="E176" i="1"/>
  <c r="E106" i="1"/>
  <c r="E476" i="1"/>
  <c r="E206" i="1"/>
  <c r="E221" i="1"/>
  <c r="E297" i="1"/>
  <c r="E101" i="1"/>
  <c r="E111" i="1"/>
  <c r="E138" i="1"/>
  <c r="E458" i="1"/>
  <c r="E70" i="1"/>
  <c r="E333" i="1"/>
  <c r="E478" i="1"/>
  <c r="E281" i="1"/>
  <c r="E36" i="1"/>
  <c r="E437" i="1"/>
  <c r="E239" i="1"/>
  <c r="E97" i="1"/>
  <c r="E132" i="1"/>
  <c r="E241" i="1"/>
  <c r="E81" i="1"/>
  <c r="E303" i="1"/>
  <c r="E410" i="1"/>
  <c r="E161" i="1"/>
  <c r="E445" i="1"/>
  <c r="E212" i="1"/>
  <c r="E130" i="1"/>
  <c r="E332" i="1"/>
  <c r="E23" i="1"/>
  <c r="E99" i="1"/>
  <c r="E364" i="1"/>
  <c r="E234" i="1"/>
  <c r="E188" i="1"/>
  <c r="E249" i="1"/>
  <c r="E104" i="1"/>
  <c r="E492" i="1"/>
  <c r="E510" i="1"/>
  <c r="E82" i="1"/>
  <c r="E273" i="1"/>
  <c r="E47" i="1"/>
  <c r="E243" i="1"/>
  <c r="E7" i="1"/>
  <c r="E204" i="1"/>
  <c r="E264" i="1"/>
  <c r="E383" i="1"/>
  <c r="E251" i="1"/>
  <c r="E468" i="1"/>
  <c r="E401" i="1"/>
  <c r="E32" i="1"/>
  <c r="E57" i="1"/>
  <c r="E519" i="1"/>
  <c r="E231" i="1"/>
  <c r="E44" i="1"/>
  <c r="E18" i="1"/>
  <c r="E381" i="1"/>
  <c r="E361" i="1"/>
  <c r="E497" i="1"/>
  <c r="E184" i="1"/>
  <c r="E367" i="1"/>
  <c r="E294" i="1"/>
  <c r="E268" i="1"/>
  <c r="E248" i="1"/>
  <c r="E255" i="1"/>
  <c r="E93" i="1"/>
  <c r="E313" i="1"/>
  <c r="E245" i="1"/>
  <c r="E309" i="1"/>
  <c r="E40" i="1"/>
  <c r="E242" i="1"/>
  <c r="E179" i="1"/>
  <c r="E48" i="1"/>
  <c r="E117" i="1"/>
  <c r="E49" i="1"/>
  <c r="D316" i="1"/>
  <c r="D433" i="1"/>
  <c r="D351" i="1"/>
  <c r="D15" i="1"/>
  <c r="D201" i="1"/>
  <c r="D326" i="1"/>
  <c r="D434" i="1"/>
  <c r="D182" i="1"/>
  <c r="D277" i="1"/>
  <c r="D5" i="1"/>
  <c r="D415" i="1"/>
  <c r="D238" i="1"/>
  <c r="D142" i="1"/>
  <c r="D203" i="1"/>
  <c r="D107" i="1"/>
  <c r="D428" i="1"/>
  <c r="D308" i="1"/>
  <c r="D474" i="1"/>
  <c r="D368" i="1"/>
  <c r="D207" i="1"/>
  <c r="D246" i="1"/>
  <c r="D149" i="1"/>
  <c r="D388" i="1"/>
  <c r="D259" i="1"/>
  <c r="D396" i="1"/>
  <c r="D45" i="1"/>
  <c r="D226" i="1"/>
  <c r="D412" i="1"/>
  <c r="D514" i="1"/>
  <c r="D354" i="1"/>
  <c r="D220" i="1"/>
  <c r="D16" i="1"/>
  <c r="D263" i="1"/>
  <c r="D425" i="1"/>
  <c r="D440" i="1"/>
  <c r="D408" i="1"/>
  <c r="D208" i="1"/>
  <c r="D389" i="1"/>
  <c r="D306" i="1"/>
  <c r="D237" i="1"/>
  <c r="D80" i="1"/>
  <c r="D356" i="1"/>
  <c r="D210" i="1"/>
  <c r="D513" i="1"/>
  <c r="D98" i="1"/>
  <c r="D72" i="1"/>
  <c r="D37" i="1"/>
  <c r="D480" i="1"/>
  <c r="D46" i="1"/>
  <c r="D290" i="1"/>
  <c r="D325" i="1"/>
  <c r="D450" i="1"/>
  <c r="D284" i="1"/>
  <c r="D67" i="1"/>
  <c r="D446" i="1"/>
  <c r="D414" i="1"/>
  <c r="D175" i="1"/>
  <c r="D472" i="1"/>
  <c r="D352" i="1"/>
  <c r="D438" i="1"/>
  <c r="D419" i="1"/>
  <c r="D103" i="1"/>
  <c r="D409" i="1"/>
  <c r="D466" i="1"/>
  <c r="D139" i="1"/>
  <c r="D288" i="1"/>
  <c r="D114" i="1"/>
  <c r="D317" i="1"/>
  <c r="D301" i="1"/>
  <c r="D426" i="1"/>
  <c r="D502" i="1"/>
  <c r="D495" i="1"/>
  <c r="D148" i="1"/>
  <c r="D228" i="1"/>
  <c r="D517" i="1"/>
  <c r="D441" i="1"/>
  <c r="D8" i="1"/>
  <c r="D270" i="1"/>
  <c r="D508" i="1"/>
  <c r="D55" i="1"/>
  <c r="D430" i="1"/>
  <c r="D134" i="1"/>
  <c r="D347" i="1"/>
  <c r="D366" i="1"/>
  <c r="D467" i="1"/>
  <c r="D345" i="1"/>
  <c r="D43" i="1"/>
  <c r="D296" i="1"/>
  <c r="D460" i="1"/>
  <c r="D56" i="1"/>
  <c r="D144" i="1"/>
  <c r="D457" i="1"/>
  <c r="D156" i="1"/>
  <c r="D13" i="1"/>
  <c r="D102" i="1"/>
  <c r="D449" i="1"/>
  <c r="D427" i="1"/>
  <c r="D444" i="1"/>
  <c r="D321" i="1"/>
  <c r="D29" i="1"/>
  <c r="D375" i="1"/>
  <c r="D58" i="1"/>
  <c r="D3" i="1"/>
  <c r="D262" i="1"/>
  <c r="D24" i="1"/>
  <c r="D209" i="1"/>
  <c r="D169" i="1"/>
  <c r="D403" i="1"/>
  <c r="D490" i="1"/>
  <c r="D2" i="1"/>
  <c r="D198" i="1"/>
  <c r="D116" i="1"/>
  <c r="D71" i="1"/>
  <c r="E433" i="1" l="1"/>
  <c r="E388" i="1"/>
  <c r="E412" i="1"/>
  <c r="E325" i="1"/>
  <c r="E270" i="1"/>
  <c r="E102" i="1"/>
  <c r="E263" i="1"/>
  <c r="E237" i="1"/>
  <c r="E356" i="1"/>
  <c r="E366" i="1"/>
  <c r="E67" i="1"/>
  <c r="E317" i="1"/>
  <c r="E142" i="1"/>
  <c r="E428" i="1"/>
  <c r="E72" i="1"/>
  <c r="E228" i="1"/>
  <c r="E415" i="1"/>
  <c r="E15" i="1"/>
  <c r="E116" i="1"/>
  <c r="E438" i="1"/>
  <c r="E414" i="1"/>
  <c r="E246" i="1"/>
  <c r="E207" i="1"/>
  <c r="E495" i="1"/>
  <c r="E8" i="1"/>
  <c r="E306" i="1"/>
  <c r="E182" i="1"/>
  <c r="E290" i="1"/>
  <c r="E156" i="1"/>
  <c r="E466" i="1"/>
  <c r="E144" i="1"/>
  <c r="E425" i="1"/>
  <c r="E134" i="1"/>
  <c r="E277" i="1"/>
  <c r="E460" i="1"/>
  <c r="E210" i="1"/>
  <c r="E55" i="1"/>
  <c r="E2" i="1"/>
  <c r="E427" i="1"/>
  <c r="E441" i="1"/>
  <c r="E169" i="1"/>
  <c r="E284" i="1"/>
  <c r="E408" i="1"/>
  <c r="E472" i="1"/>
  <c r="E288" i="1"/>
  <c r="E58" i="1"/>
  <c r="E514" i="1"/>
  <c r="E209" i="1"/>
  <c r="E29" i="1"/>
  <c r="E480" i="1"/>
  <c r="E262" i="1"/>
  <c r="E103" i="1"/>
  <c r="E308" i="1"/>
  <c r="E45" i="1"/>
  <c r="E259" i="1"/>
  <c r="E517" i="1"/>
  <c r="E149" i="1"/>
  <c r="E354" i="1"/>
  <c r="E513" i="1"/>
  <c r="E490" i="1"/>
  <c r="E403" i="1"/>
  <c r="E201" i="1"/>
  <c r="E440" i="1"/>
  <c r="E444" i="1"/>
  <c r="E220" i="1"/>
  <c r="E56" i="1"/>
  <c r="E98" i="1"/>
  <c r="E114" i="1"/>
  <c r="E208" i="1"/>
  <c r="E296" i="1"/>
  <c r="E5" i="1"/>
  <c r="E198" i="1"/>
  <c r="E426" i="1"/>
  <c r="E13" i="1"/>
  <c r="E107" i="1"/>
  <c r="E345" i="1"/>
  <c r="E446" i="1"/>
  <c r="E347" i="1"/>
  <c r="E351" i="1"/>
  <c r="E474" i="1"/>
  <c r="E368" i="1"/>
  <c r="E301" i="1"/>
  <c r="E148" i="1"/>
  <c r="E203" i="1"/>
  <c r="E434" i="1"/>
  <c r="E139" i="1"/>
  <c r="E321" i="1"/>
  <c r="E326" i="1"/>
  <c r="E352" i="1"/>
  <c r="E457" i="1"/>
  <c r="E238" i="1"/>
  <c r="E375" i="1"/>
  <c r="E46" i="1"/>
  <c r="E430" i="1"/>
  <c r="E389" i="1"/>
  <c r="E449" i="1"/>
  <c r="E316" i="1"/>
  <c r="E3" i="1"/>
  <c r="E226" i="1"/>
  <c r="E467" i="1"/>
  <c r="E396" i="1"/>
  <c r="E43" i="1"/>
  <c r="E409" i="1"/>
  <c r="E71" i="1"/>
  <c r="E80" i="1"/>
  <c r="E175" i="1"/>
  <c r="E502" i="1"/>
  <c r="E16" i="1"/>
  <c r="E24" i="1"/>
  <c r="E37" i="1"/>
  <c r="E450" i="1"/>
  <c r="E419" i="1"/>
  <c r="E508" i="1"/>
</calcChain>
</file>

<file path=xl/sharedStrings.xml><?xml version="1.0" encoding="utf-8"?>
<sst xmlns="http://schemas.openxmlformats.org/spreadsheetml/2006/main" count="1041" uniqueCount="953">
  <si>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</si>
  <si>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</si>
  <si>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</si>
  <si>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</si>
  <si>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</si>
  <si>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</si>
  <si>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</si>
  <si>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</si>
  <si>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</si>
  <si>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</si>
  <si>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</si>
  <si>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</si>
  <si>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</si>
  <si>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</si>
  <si>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</si>
  <si>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</si>
  <si>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</si>
  <si>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</si>
  <si>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</si>
  <si>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</si>
  <si>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</si>
  <si>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</si>
  <si>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</si>
  <si>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</si>
  <si>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</si>
  <si>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</si>
  <si>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</si>
  <si>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</si>
  <si>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</si>
  <si>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</si>
  <si>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</si>
  <si>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</si>
  <si>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</si>
  <si>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</si>
  <si>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</si>
  <si>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</si>
  <si>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</si>
  <si>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</si>
  <si>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</si>
  <si>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</si>
  <si>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</si>
  <si>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</si>
  <si>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</si>
  <si>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</si>
  <si>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</si>
  <si>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</si>
  <si>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</si>
  <si>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</si>
  <si>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</si>
  <si>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</si>
  <si>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</si>
  <si>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</si>
  <si>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</si>
  <si>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</si>
  <si>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</si>
  <si>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</si>
  <si>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</si>
  <si>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</si>
  <si>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</si>
  <si>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</si>
  <si>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</si>
  <si>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</si>
  <si>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</si>
  <si>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</si>
  <si>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</si>
  <si>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</si>
  <si>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</si>
  <si>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</si>
  <si>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</si>
  <si>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</si>
  <si>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</si>
  <si>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</si>
  <si>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</si>
  <si>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</si>
  <si>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</si>
  <si>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</si>
  <si>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</si>
  <si>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</si>
  <si>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</si>
  <si>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</si>
  <si>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</si>
  <si>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</si>
  <si>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</si>
  <si>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</si>
  <si>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</si>
  <si>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</si>
  <si>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</si>
  <si>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</si>
  <si>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</si>
  <si>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</si>
  <si>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</si>
  <si>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</si>
  <si>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</si>
  <si>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</si>
  <si>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</si>
  <si>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</si>
  <si>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</si>
  <si>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</si>
  <si>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</si>
  <si>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</si>
  <si>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</si>
  <si>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</si>
  <si>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</si>
  <si>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</si>
  <si>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</si>
  <si>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</si>
  <si>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</si>
  <si>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</si>
  <si>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</si>
  <si>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</si>
  <si>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</si>
  <si>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</si>
  <si>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</si>
  <si>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</si>
  <si>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</si>
  <si>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</si>
  <si>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</si>
  <si>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</si>
  <si>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</si>
  <si>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</si>
  <si>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</si>
  <si>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</si>
  <si>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</si>
  <si>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</si>
  <si>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</si>
  <si>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</si>
  <si>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</si>
  <si>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</si>
  <si>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</si>
  <si>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</si>
  <si>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</si>
  <si>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</si>
  <si>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</si>
  <si>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</si>
  <si>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</si>
  <si>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</si>
  <si>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</si>
  <si>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</si>
  <si>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</si>
  <si>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</si>
  <si>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</si>
  <si>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</si>
  <si>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</si>
  <si>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</si>
  <si>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</si>
  <si>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</si>
  <si>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</si>
  <si>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</si>
  <si>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</si>
  <si>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</si>
  <si>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</si>
  <si>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</si>
  <si>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</si>
  <si>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</si>
  <si>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</si>
  <si>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</si>
  <si>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</si>
  <si>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</si>
  <si>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</si>
  <si>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</si>
  <si>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</si>
  <si>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</si>
  <si>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</si>
  <si>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</si>
  <si>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</si>
  <si>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</si>
  <si>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</si>
  <si>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</si>
  <si>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</si>
  <si>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</si>
  <si>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</si>
  <si>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See your way forward.</t>
  </si>
  <si>
    <t>Epiphany</t>
  </si>
  <si>
    <t>Quality in everything we do.</t>
  </si>
  <si>
    <t>Ernst &amp; Young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</si>
  <si>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</si>
  <si>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</si>
  <si>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</si>
  <si>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</si>
  <si>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</si>
  <si>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</si>
  <si>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</si>
  <si>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</si>
  <si>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</si>
  <si>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</si>
  <si>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</si>
  <si>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</si>
  <si>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</si>
  <si>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</si>
  <si>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</si>
  <si>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</si>
  <si>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</si>
  <si>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</si>
  <si>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</si>
  <si>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</si>
  <si>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</si>
  <si>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</si>
  <si>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</si>
  <si>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</si>
  <si>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</si>
  <si>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</si>
  <si>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</si>
  <si>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</si>
  <si>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</si>
  <si>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</si>
  <si>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</si>
  <si>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</si>
  <si>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</si>
  <si>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</si>
  <si>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</si>
  <si>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</si>
  <si>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</si>
  <si>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</si>
  <si>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</si>
  <si>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</si>
  <si>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</si>
  <si>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</si>
  <si>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</si>
  <si>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</si>
  <si>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</si>
  <si>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</si>
  <si>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</si>
  <si>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</si>
  <si>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</si>
  <si>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</si>
  <si>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</si>
  <si>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</si>
  <si>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</si>
  <si>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</si>
  <si>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</si>
  <si>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</si>
  <si>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</si>
  <si>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</si>
  <si>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</si>
  <si>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</si>
  <si>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</si>
  <si>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</si>
  <si>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</si>
  <si>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</si>
  <si>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</si>
  <si>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</si>
  <si>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</si>
  <si>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</si>
  <si>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</si>
  <si>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</si>
  <si>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</si>
  <si>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</si>
  <si>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</si>
  <si>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</si>
  <si>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</si>
  <si>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</si>
  <si>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</si>
  <si>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</si>
  <si>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</si>
  <si>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</si>
  <si>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</si>
  <si>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</si>
  <si>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</si>
  <si>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</si>
  <si>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</si>
  <si>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</si>
  <si>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</si>
  <si>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</si>
  <si>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</si>
  <si>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</si>
  <si>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</si>
  <si>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</si>
  <si>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</si>
  <si>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</si>
  <si>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</si>
  <si>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</si>
  <si>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</si>
  <si>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</si>
  <si>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</si>
  <si>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</si>
  <si>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</si>
  <si>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Start aging smart.</t>
  </si>
  <si>
    <t>Kellogg’s Smart Start</t>
  </si>
  <si>
    <t>Finger-lickin’ good!</t>
  </si>
  <si>
    <t>Kentucky Fried Chicken</t>
  </si>
  <si>
    <t>Nobody does chicken like KFC.</t>
  </si>
  <si>
    <t>Kid tested. Mother approved.</t>
  </si>
  <si>
    <t>Kix Cereal</t>
  </si>
  <si>
    <t>It’s time for clarity.</t>
  </si>
  <si>
    <t>KPMG</t>
  </si>
  <si>
    <t>“What happens here, stays here.”</t>
  </si>
  <si>
    <t>Las Vegas Convention and Visitors Authority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</si>
  <si>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</si>
  <si>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</si>
  <si>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</si>
  <si>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</si>
  <si>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</si>
  <si>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</si>
  <si>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</si>
  <si>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</si>
  <si>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</si>
  <si>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</si>
  <si>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</si>
  <si>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</si>
  <si>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</si>
  <si>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</si>
  <si>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</si>
  <si>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</si>
  <si>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</si>
  <si>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</si>
  <si>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</si>
  <si>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</si>
  <si>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</si>
  <si>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</si>
  <si>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</si>
  <si>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</si>
  <si>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</si>
  <si>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</si>
  <si>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</si>
  <si>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</si>
  <si>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</si>
  <si>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</si>
  <si>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</si>
  <si>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</si>
  <si>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</si>
  <si>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</si>
  <si>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</si>
  <si>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</si>
  <si>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</si>
  <si>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</si>
  <si>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</si>
  <si>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</si>
  <si>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</si>
  <si>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</si>
  <si>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</si>
  <si>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</si>
  <si>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</si>
  <si>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</si>
  <si>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</si>
  <si>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</si>
  <si>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</si>
  <si>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</si>
  <si>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</si>
  <si>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</si>
  <si>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</si>
  <si>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</si>
  <si>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</si>
  <si>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</si>
  <si>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</si>
  <si>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</si>
  <si>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</si>
  <si>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</si>
  <si>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</si>
  <si>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</si>
  <si>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</si>
  <si>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</si>
  <si>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</si>
  <si>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</si>
  <si>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</si>
  <si>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</si>
  <si>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</si>
  <si>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</si>
  <si>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</si>
  <si>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</si>
  <si>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</si>
  <si>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</si>
  <si>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</si>
  <si>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</si>
  <si>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</si>
  <si>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</si>
  <si>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</si>
  <si>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</si>
  <si>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</si>
  <si>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</si>
  <si>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</si>
  <si>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</si>
  <si>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</si>
  <si>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</si>
  <si>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</si>
  <si>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</si>
  <si>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</si>
  <si>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</si>
  <si>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</si>
  <si>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</si>
  <si>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</si>
  <si>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</si>
  <si>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</si>
  <si>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</si>
  <si>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</si>
  <si>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</si>
  <si>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</si>
  <si>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</si>
  <si>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</si>
  <si>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</si>
  <si>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</si>
  <si>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</si>
  <si>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</si>
  <si>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</si>
  <si>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</si>
  <si>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</si>
  <si>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</si>
  <si>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</si>
  <si>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</si>
  <si>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</si>
  <si>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</si>
  <si>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</si>
  <si>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</si>
  <si>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</si>
  <si>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</si>
  <si>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</si>
  <si>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</si>
  <si>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</si>
  <si>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</si>
  <si>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</si>
  <si>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</si>
  <si>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</si>
  <si>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</si>
  <si>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</si>
  <si>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</si>
  <si>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</si>
  <si>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</si>
  <si>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</si>
  <si>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</si>
  <si>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</si>
  <si>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</si>
  <si>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</si>
  <si>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</si>
  <si>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</si>
  <si>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</si>
  <si>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</si>
  <si>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</si>
  <si>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</si>
  <si>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</si>
  <si>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</si>
  <si>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</si>
  <si>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</si>
  <si>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</si>
  <si>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</si>
  <si>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</si>
  <si>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</si>
  <si>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</si>
  <si>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</si>
  <si>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</si>
  <si>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</si>
  <si>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</si>
  <si>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</si>
  <si>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</si>
  <si>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</si>
  <si>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</si>
  <si>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</si>
  <si>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</si>
  <si>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</si>
  <si>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</si>
  <si>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</si>
  <si>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</si>
  <si>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</si>
  <si>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</si>
  <si>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</si>
  <si>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</si>
  <si>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</si>
  <si>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</si>
  <si>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</si>
  <si>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</si>
  <si>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</si>
  <si>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</si>
  <si>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</si>
  <si>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</si>
  <si>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</si>
  <si>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</si>
  <si>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</si>
  <si>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</si>
  <si>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</si>
  <si>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</si>
  <si>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</si>
  <si>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</si>
  <si>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</si>
  <si>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</si>
  <si>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</si>
  <si>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</si>
  <si>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</si>
  <si>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</si>
  <si>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</si>
  <si>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</si>
  <si>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</si>
  <si>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</si>
  <si>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</si>
  <si>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</si>
  <si>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</si>
  <si>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</si>
  <si>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</si>
  <si>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</si>
  <si>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</si>
  <si>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</si>
  <si>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</si>
  <si>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</si>
  <si>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</si>
  <si>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</si>
  <si>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</si>
  <si>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</si>
  <si>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</si>
  <si>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</si>
  <si>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</si>
  <si>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</si>
  <si>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</si>
  <si>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</si>
  <si>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</si>
  <si>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</si>
  <si>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</si>
  <si>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</si>
  <si>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</si>
  <si>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</si>
  <si>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</si>
  <si>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</si>
  <si>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</si>
  <si>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</si>
  <si>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</si>
  <si>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</si>
  <si>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</si>
  <si>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</si>
  <si>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</si>
  <si>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</si>
  <si>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</si>
  <si>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</si>
  <si>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</si>
  <si>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</si>
  <si>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</si>
  <si>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</si>
  <si>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</si>
  <si>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</si>
  <si>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</si>
  <si>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</si>
  <si>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</si>
  <si>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</si>
  <si>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</si>
  <si>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</si>
  <si>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</si>
  <si>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</si>
  <si>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</si>
  <si>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</si>
  <si>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</si>
  <si>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</si>
  <si>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</si>
  <si>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</si>
  <si>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</si>
  <si>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</si>
  <si>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</si>
  <si>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</si>
  <si>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</si>
  <si>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</si>
  <si>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</si>
  <si>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</si>
  <si>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</si>
  <si>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</si>
  <si>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</si>
  <si>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</si>
  <si>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</si>
  <si>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</si>
  <si>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</si>
  <si>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</si>
  <si>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</si>
  <si>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</si>
  <si>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</si>
  <si>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</si>
  <si>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</si>
  <si>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</si>
  <si>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</si>
  <si>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</si>
  <si>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</si>
  <si>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</si>
  <si>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</si>
  <si>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</si>
  <si>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</si>
  <si>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</si>
  <si>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</si>
  <si>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</si>
  <si>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</si>
  <si>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</si>
  <si>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</si>
  <si>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</si>
  <si>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</si>
  <si>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</si>
  <si>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</si>
  <si>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</si>
  <si>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</si>
  <si>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</si>
  <si>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</si>
  <si>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</si>
  <si>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</si>
  <si>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</si>
  <si>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</si>
  <si>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</si>
  <si>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</si>
  <si>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</si>
  <si>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</si>
  <si>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</si>
  <si>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</si>
  <si>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</si>
  <si>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</si>
  <si>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</si>
  <si>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</si>
  <si>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</si>
  <si>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</si>
  <si>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</si>
  <si>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</si>
  <si>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</si>
  <si>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</si>
  <si>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</si>
  <si>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</si>
  <si>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</si>
  <si>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</si>
  <si>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</si>
  <si>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</si>
  <si>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</si>
  <si>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</si>
  <si>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</si>
  <si>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</si>
  <si>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</si>
  <si>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</si>
  <si>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</si>
  <si>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</si>
  <si>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</si>
  <si>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</si>
  <si>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</si>
  <si>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</si>
  <si>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</si>
  <si>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</si>
  <si>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</si>
  <si>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</si>
  <si>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</si>
  <si>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</si>
  <si>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</si>
  <si>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</si>
  <si>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</si>
  <si>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</si>
  <si>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</si>
  <si>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</si>
  <si>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</si>
  <si>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</si>
  <si>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There’s always room for J-E-L-L-0.</t>
  </si>
  <si>
    <t>Jell-O makes me mellow and the wiggle makes me giggle.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</si>
  <si>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</si>
  <si>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</si>
  <si>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</si>
  <si>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</si>
  <si>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</si>
  <si>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</si>
  <si>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</si>
  <si>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</si>
  <si>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</si>
  <si>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Maybe she’s born with it. Maybe it’s Maybelline.</t>
  </si>
  <si>
    <t>Maybelline</t>
  </si>
  <si>
    <t>Zoom, zoom, zoom.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</si>
  <si>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</si>
  <si>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</si>
  <si>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</si>
  <si>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</si>
  <si>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</si>
  <si>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</si>
  <si>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</si>
  <si>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</si>
  <si>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</si>
  <si>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</si>
  <si>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</si>
  <si>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</si>
  <si>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</si>
  <si>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</si>
  <si>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</si>
  <si>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</si>
  <si>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</si>
  <si>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</si>
  <si>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</si>
  <si>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</si>
  <si>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</si>
  <si>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</si>
  <si>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</si>
  <si>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</si>
  <si>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</si>
  <si>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</si>
  <si>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</si>
  <si>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</si>
  <si>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</si>
  <si>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</si>
  <si>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</si>
  <si>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</si>
  <si>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</si>
  <si>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</si>
  <si>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</si>
  <si>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</si>
  <si>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</si>
  <si>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</si>
  <si>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</si>
  <si>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</si>
  <si>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</si>
  <si>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</si>
  <si>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</si>
  <si>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</si>
  <si>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</si>
  <si>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</si>
  <si>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</si>
  <si>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</si>
  <si>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</si>
  <si>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</si>
  <si>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</si>
  <si>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</si>
  <si>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</si>
  <si>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</si>
  <si>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</si>
  <si>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</si>
  <si>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</si>
  <si>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</si>
  <si>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</si>
  <si>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</si>
  <si>
    <t xml:space="preserve">Porsche </t>
  </si>
  <si>
    <t xml:space="preserve"> There is no substitute.</t>
  </si>
  <si>
    <t xml:space="preserve">Aston Martin </t>
  </si>
  <si>
    <t xml:space="preserve"> Power, beauty and soul.</t>
  </si>
  <si>
    <t xml:space="preserve">Adidas </t>
  </si>
  <si>
    <t xml:space="preserve">Marks &amp; Spencer </t>
  </si>
  <si>
    <t xml:space="preserve"> The customer is always and completely right!</t>
  </si>
  <si>
    <t xml:space="preserve">Tag Heuer </t>
  </si>
  <si>
    <t xml:space="preserve"> Success. It’s a Mind Game.</t>
  </si>
  <si>
    <t xml:space="preserve">Sony </t>
  </si>
  <si>
    <t xml:space="preserve">PlayStation </t>
  </si>
  <si>
    <t xml:space="preserve"> Live in your world. Play in ours.</t>
  </si>
  <si>
    <t xml:space="preserve">EA </t>
  </si>
  <si>
    <t xml:space="preserve">Blogger </t>
  </si>
  <si>
    <t xml:space="preserve"> Push button publishing.</t>
  </si>
  <si>
    <t xml:space="preserve">Canon </t>
  </si>
  <si>
    <t xml:space="preserve"> See what we mean.</t>
  </si>
  <si>
    <t xml:space="preserve">Kodak </t>
  </si>
  <si>
    <t xml:space="preserve"> Share moments. Share life.</t>
  </si>
  <si>
    <t xml:space="preserve">Olympus </t>
  </si>
  <si>
    <t xml:space="preserve">FedEx </t>
  </si>
  <si>
    <t xml:space="preserve"> When there is no tomorrow.</t>
  </si>
  <si>
    <t xml:space="preserve">Red Cross </t>
  </si>
  <si>
    <t xml:space="preserve"> The greatest tragedy is indifference.</t>
  </si>
  <si>
    <t xml:space="preserve">Fortune </t>
  </si>
  <si>
    <t xml:space="preserve"> For the men in charge of change.</t>
  </si>
  <si>
    <t xml:space="preserve">McDonalds </t>
  </si>
  <si>
    <t xml:space="preserve"> Twist the cap to refreshment.</t>
  </si>
  <si>
    <t xml:space="preserve"> Open Happiness.</t>
  </si>
  <si>
    <t xml:space="preserve">Solex </t>
  </si>
  <si>
    <t xml:space="preserve">Red Lobster </t>
  </si>
  <si>
    <t xml:space="preserve"> Seafood Differently.</t>
  </si>
  <si>
    <t xml:space="preserve">Mazda </t>
  </si>
  <si>
    <t xml:space="preserve"> You can’t beat the real thing.</t>
  </si>
  <si>
    <t xml:space="preserve"> Enjoy.</t>
  </si>
  <si>
    <t xml:space="preserve">Jaguar </t>
  </si>
  <si>
    <t xml:space="preserve"> Own a Jaguar at a price of a car.</t>
  </si>
  <si>
    <t xml:space="preserve">Marathon Petroleum </t>
  </si>
  <si>
    <t xml:space="preserve"> Fueling the American Spirit</t>
  </si>
  <si>
    <t>Zoom Zoom.</t>
  </si>
  <si>
    <t>I’m loving it.</t>
  </si>
  <si>
    <t>Your vision. Our future.</t>
  </si>
  <si>
    <t>Make Believe.</t>
  </si>
  <si>
    <t>It’s Style.</t>
  </si>
  <si>
    <t>Challenge everything.</t>
  </si>
  <si>
    <t>Intel inside logo</t>
  </si>
  <si>
    <t>British Telecom</t>
  </si>
  <si>
    <t>It’s good to talk</t>
  </si>
  <si>
    <t>Impossible is Nothing.</t>
  </si>
  <si>
    <t>“Your flexible friend.”</t>
  </si>
  <si>
    <t>Access</t>
  </si>
  <si>
    <t>“Ah, Bisto!”</t>
  </si>
  <si>
    <t>Bisto</t>
  </si>
  <si>
    <t>“The quicker picker-upper.”</t>
  </si>
  <si>
    <t>“It's what your right arm's for.”</t>
  </si>
  <si>
    <t>Courage Tavern Ale</t>
  </si>
  <si>
    <t>Felix</t>
  </si>
  <si>
    <t>“Grace... Space... Pace.”</t>
  </si>
  <si>
    <t>“We all adore a Kia-Ora.”</t>
  </si>
  <si>
    <t>Kia-Ora</t>
  </si>
  <si>
    <t>“Tastes so good cats ask for it by name.”</t>
  </si>
  <si>
    <t>“I love New York.”</t>
  </si>
  <si>
    <t>New York</t>
  </si>
  <si>
    <t>“Sometimes you feel like a nut, sometimes you don't.”</t>
  </si>
  <si>
    <t>Peter Paul Mounds/ Almond Joy</t>
  </si>
  <si>
    <t>“If it's on, it's in.”</t>
  </si>
  <si>
    <t>Radio Times</t>
  </si>
  <si>
    <t>“Schhh...You-Know-Who.”</t>
  </si>
  <si>
    <t>“WotalotIgot!”</t>
  </si>
  <si>
    <t>Smarties</t>
  </si>
  <si>
    <t>“Free enterprise with every issue.”</t>
  </si>
  <si>
    <t>The Economist</t>
  </si>
  <si>
    <t>Thomas Cook</t>
  </si>
  <si>
    <t>Carlsberg</t>
  </si>
  <si>
    <t>Citibank</t>
  </si>
  <si>
    <t>Club Med</t>
  </si>
  <si>
    <t>Federal Express</t>
  </si>
  <si>
    <t>Forbes</t>
  </si>
  <si>
    <t>Shell Oil</t>
  </si>
  <si>
    <t>Skoda</t>
  </si>
  <si>
    <t>Toni</t>
  </si>
  <si>
    <t>WINS Radio, New York</t>
  </si>
  <si>
    <t>Egg Marketing Board</t>
  </si>
  <si>
    <t>Guinness</t>
  </si>
  <si>
    <t>Hamlet</t>
  </si>
  <si>
    <t>Heineken</t>
  </si>
  <si>
    <t>Heinz</t>
  </si>
  <si>
    <t xml:space="preserve">Plop, plop, fizz, fizz, oh what a relief it is. Plink, plink, fizz, fizz. </t>
  </si>
  <si>
    <t xml:space="preserve">Vorsprung Durch Technik. </t>
  </si>
  <si>
    <t xml:space="preserve">Ah! Bisto. </t>
  </si>
  <si>
    <t xml:space="preserve">Have it your way. </t>
  </si>
  <si>
    <t xml:space="preserve">Are you a cadbury’s Fruit &amp; Nut caase? </t>
  </si>
  <si>
    <t xml:space="preserve">And All because the lady loves milk tray. </t>
  </si>
  <si>
    <t xml:space="preserve">I best he drinks Carling’s Black Label </t>
  </si>
  <si>
    <t xml:space="preserve">A diamond is forever.  </t>
  </si>
  <si>
    <t xml:space="preserve">The last place you want to go. </t>
  </si>
  <si>
    <t xml:space="preserve">Put a Tiger in your tank. </t>
  </si>
  <si>
    <t xml:space="preserve">Cats like Felix, like Felix. </t>
  </si>
  <si>
    <t xml:space="preserve">Hand built by robots. </t>
  </si>
  <si>
    <t xml:space="preserve">No FT, no comment. </t>
  </si>
  <si>
    <t xml:space="preserve">If you want to get ahead, get a hat. </t>
  </si>
  <si>
    <t xml:space="preserve">Heineken refreshes the parts other beers cannot reach. </t>
  </si>
  <si>
    <t xml:space="preserve">Beanz means Heinz. </t>
  </si>
  <si>
    <t xml:space="preserve">I think therefore IBM. </t>
  </si>
  <si>
    <t xml:space="preserve">Grace…pace…pace </t>
  </si>
  <si>
    <t xml:space="preserve">Nothing runs like a Deere. </t>
  </si>
  <si>
    <t xml:space="preserve">Snap! Crackle! pop! </t>
  </si>
  <si>
    <t xml:space="preserve">Have a break, have a Kitkat. </t>
  </si>
  <si>
    <t xml:space="preserve">Betcha can’t eat just one. </t>
  </si>
  <si>
    <t xml:space="preserve">You don’t have to be Jewish to love Levy’s. </t>
  </si>
  <si>
    <t xml:space="preserve">The milk chocolate melts in your mouth, not in your hand. </t>
  </si>
  <si>
    <t xml:space="preserve">Did you Maclean you teeth today. </t>
  </si>
  <si>
    <t xml:space="preserve">A Mars a day helps you work, rest and play. </t>
  </si>
  <si>
    <t xml:space="preserve">Merrill Lynch is bullish on America. </t>
  </si>
  <si>
    <t xml:space="preserve">Milk’s gotta lotta bottle. </t>
  </si>
  <si>
    <t xml:space="preserve">Lick the lid of llife. </t>
  </si>
  <si>
    <t xml:space="preserve">The future’s bright. The future’s Orange. </t>
  </si>
  <si>
    <t xml:space="preserve">Preparing to be a beautiful lady. </t>
  </si>
  <si>
    <t xml:space="preserve">It’s a bit of an animal. </t>
  </si>
  <si>
    <t xml:space="preserve">Lipsmackin’ thirstquenchin’ acetastin’ motivatin’ goodbuzzin’ cooltalkin’ highwalkin’ fastlivin’ vergivin’coolfizzin’ Pepsi.  </t>
  </si>
  <si>
    <t xml:space="preserve">It takes a tough man to make a tender chicken. </t>
  </si>
  <si>
    <t xml:space="preserve">It’s a lot less bovver than a hover. </t>
  </si>
  <si>
    <t xml:space="preserve">No child born to die. </t>
  </si>
  <si>
    <t xml:space="preserve">It’s a skoda. Honest. </t>
  </si>
  <si>
    <t xml:space="preserve">Children’s shoes have far to go. </t>
  </si>
  <si>
    <t xml:space="preserve">Reassuringly Expensive. </t>
  </si>
  <si>
    <t xml:space="preserve">You know when you’ve been Tango’d. </t>
  </si>
  <si>
    <t xml:space="preserve">Every little helps </t>
  </si>
  <si>
    <t xml:space="preserve">Free enterprise with every copy. </t>
  </si>
  <si>
    <t xml:space="preserve">It is. Are you? </t>
  </si>
  <si>
    <t xml:space="preserve">A newspaper, not a snoozepaper. </t>
  </si>
  <si>
    <t xml:space="preserve">Don’t just book it. Thomas Cook it. </t>
  </si>
  <si>
    <t xml:space="preserve">It takes a licking and keeps on ticking. </t>
  </si>
  <si>
    <t xml:space="preserve">Hello Tosh, gotta Toshiba? </t>
  </si>
  <si>
    <t xml:space="preserve">The car in front is a Toyota. </t>
  </si>
  <si>
    <t xml:space="preserve">Think Small. </t>
  </si>
  <si>
    <t xml:space="preserve">Breakfast of champions. </t>
  </si>
  <si>
    <t xml:space="preserve">You give us 22 minutes, we’ll give you the world. </t>
  </si>
  <si>
    <t xml:space="preserve">Hello Boys. </t>
  </si>
  <si>
    <t xml:space="preserve">American by birth, rebel by choice. </t>
  </si>
  <si>
    <t xml:space="preserve">Save Money. Live Better.  </t>
  </si>
  <si>
    <t xml:space="preserve">I am what I am. </t>
  </si>
  <si>
    <t xml:space="preserve">Between love and madness lies obsession. </t>
  </si>
  <si>
    <t xml:space="preserve">Quality never goes out of style. </t>
  </si>
  <si>
    <t xml:space="preserve">Innovation. </t>
  </si>
  <si>
    <t xml:space="preserve">Think big. </t>
  </si>
  <si>
    <t xml:space="preserve">Keeps going and going and going. </t>
  </si>
  <si>
    <t xml:space="preserve">The greatest tragedy is indifference. </t>
  </si>
  <si>
    <t xml:space="preserve">Make the most of now. </t>
  </si>
  <si>
    <t xml:space="preserve">Coffee at its best. </t>
  </si>
  <si>
    <t xml:space="preserve">We bring good things to life. </t>
  </si>
  <si>
    <t xml:space="preserve">The world’s local bank.  </t>
  </si>
  <si>
    <t xml:space="preserve">Hungry? Grab a Snickers. </t>
  </si>
  <si>
    <t xml:space="preserve">For men who don’t have to try too hard. </t>
  </si>
  <si>
    <t xml:space="preserve">Rare but good. </t>
  </si>
  <si>
    <t xml:space="preserve">No more tears. </t>
  </si>
  <si>
    <t xml:space="preserve">Keep that schoolgirl complexion. </t>
  </si>
  <si>
    <t xml:space="preserve">Express yourself every day.  </t>
  </si>
  <si>
    <t>When you got it, flaunt it.</t>
  </si>
  <si>
    <t>Probably the best beer in the world.</t>
  </si>
  <si>
    <t>The Citi never sleeps.</t>
  </si>
  <si>
    <t>When it absolutely, positively has to be there overnight.</t>
  </si>
  <si>
    <t>Capitalist tool.</t>
  </si>
  <si>
    <t>You can be sure of Shell.</t>
  </si>
  <si>
    <t>Which twin has the Toni?</t>
  </si>
  <si>
    <t>Fly the friendly skies.</t>
  </si>
  <si>
    <t>Give us 20 minutes and we'll give you the world.</t>
  </si>
  <si>
    <t>Go to work on an egg.</t>
  </si>
  <si>
    <t>Guinness is good for you.</t>
  </si>
  <si>
    <t>Lay’s</t>
  </si>
  <si>
    <t>Happiness is a cigar called Hamlet.</t>
  </si>
  <si>
    <t>Wonderbra</t>
  </si>
  <si>
    <t xml:space="preserve"> “Taste the Rainbow”</t>
  </si>
  <si>
    <t xml:space="preserve"> “They’re GR-R-R-reat”</t>
  </si>
  <si>
    <t xml:space="preserve"> “What’s the Worst That Could Happen?”</t>
  </si>
  <si>
    <t xml:space="preserve"> “It Gives You Wings!”</t>
  </si>
  <si>
    <t xml:space="preserve"> “You Only Get an ‘OO’ With Typhoo”</t>
  </si>
  <si>
    <t xml:space="preserve"> “Never Knowingly Undersold”</t>
  </si>
  <si>
    <t xml:space="preserve"> “The Make Up of Make Up Artists”</t>
  </si>
  <si>
    <t xml:space="preserve"> “It Does Exactly What it Says on the Tin”</t>
  </si>
  <si>
    <t xml:space="preserve"> “It Keeps Going, and Going, and Going…”</t>
  </si>
  <si>
    <t xml:space="preserve"> “For Everything Else, There’s MasterCard”</t>
  </si>
  <si>
    <t xml:space="preserve"> “Because Change Happens”</t>
  </si>
  <si>
    <t xml:space="preserve"> “Ideas for Life”</t>
  </si>
  <si>
    <t xml:space="preserve"> “Don’t be Evil”</t>
  </si>
  <si>
    <t xml:space="preserve"> “Dream Bigger”</t>
  </si>
  <si>
    <t>3M</t>
  </si>
  <si>
    <t>Alka Seltzer</t>
  </si>
  <si>
    <t>Burder King</t>
  </si>
  <si>
    <t>Cadbury’s Fruit &amp; Nut</t>
  </si>
  <si>
    <t>Cadbury’s Milk Tray</t>
  </si>
  <si>
    <t>Carling Black Label</t>
  </si>
  <si>
    <t>De Beers</t>
  </si>
  <si>
    <t>Denim Aftershave</t>
  </si>
  <si>
    <t>Dixons</t>
  </si>
  <si>
    <t>Energizer</t>
  </si>
  <si>
    <t>Esso</t>
  </si>
  <si>
    <t>Fiat Strada</t>
  </si>
  <si>
    <t>Financial Times</t>
  </si>
  <si>
    <t>GE (General Electric)</t>
  </si>
  <si>
    <t>Hat Council</t>
  </si>
  <si>
    <t>HSBC</t>
  </si>
  <si>
    <t>Imax</t>
  </si>
  <si>
    <t>Imperial Leather</t>
  </si>
  <si>
    <t>Johnson’s Baby Shampoo</t>
  </si>
  <si>
    <t>Kit Kat</t>
  </si>
  <si>
    <t>Levis</t>
  </si>
  <si>
    <t>Levy’s Rye Bread</t>
  </si>
  <si>
    <t>M&amp;M</t>
  </si>
  <si>
    <t>Macleans</t>
  </si>
  <si>
    <t>Mars</t>
  </si>
  <si>
    <t>Merrill Lynch</t>
  </si>
  <si>
    <t>Milk Marketing Board</t>
  </si>
  <si>
    <t>Muller</t>
  </si>
  <si>
    <t>Nescafe Neighbour’s envy, owner’s pride</t>
  </si>
  <si>
    <t>Orange</t>
  </si>
  <si>
    <t>Palmolive Soap</t>
  </si>
  <si>
    <t>Pears Soap</t>
  </si>
  <si>
    <t>Peperami</t>
  </si>
  <si>
    <t>Pepsi Cola</t>
  </si>
  <si>
    <t>Perdue</t>
  </si>
  <si>
    <t>Philips</t>
  </si>
  <si>
    <t>Qualcast Concord</t>
  </si>
  <si>
    <t>Red Cross</t>
  </si>
  <si>
    <t>Reebok</t>
  </si>
  <si>
    <t>Save The Children</t>
  </si>
  <si>
    <t>Smart</t>
  </si>
  <si>
    <t>Snickers</t>
  </si>
  <si>
    <t>Stella Artois</t>
  </si>
  <si>
    <t>Tango</t>
  </si>
  <si>
    <t>Tesco</t>
  </si>
  <si>
    <t>The Independent</t>
  </si>
  <si>
    <t>The Mail on Sunday</t>
  </si>
  <si>
    <t>Vodafone</t>
  </si>
  <si>
    <t>Walmart</t>
  </si>
  <si>
    <t>Wins Radio, New York</t>
  </si>
  <si>
    <t>Google</t>
  </si>
  <si>
    <t>John Lewis</t>
  </si>
  <si>
    <t>Kelloggs Frosties</t>
  </si>
  <si>
    <t>Max Factor</t>
  </si>
  <si>
    <t>Red Bull</t>
  </si>
  <si>
    <t>Ronseal</t>
  </si>
  <si>
    <t>Skittles</t>
  </si>
  <si>
    <t>Superdream</t>
  </si>
  <si>
    <t>Typhoo</t>
  </si>
  <si>
    <t>Zurich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</si>
</sst>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3" borderId="0" xfId="0" applyFont="1" applyFill="1" applyAlignment="1">
      <alignment horizontal="left" vertical="top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19"/>
  <sheetViews>
    <sheetView tabSelected="1" topLeftCell="C1" workbookViewId="0">
      <pane ySplit="1" topLeftCell="A497" activePane="bottomLeft" state="frozen"/>
      <selection pane="bottomLeft" activeCell="E2" sqref="E2:E519"/>
    </sheetView>
  </sheetViews>
  <sheetFormatPr defaultColWidth="36" defaultRowHeight="15" x14ac:dyDescent="0.25"/>
  <cols>
    <col min="1" max="1" width="42.42578125" style="3" bestFit="1" customWidth="1"/>
    <col min="2" max="2" width="54.85546875" style="3" customWidth="1"/>
    <col min="3" max="3" width="35.7109375" style="3" bestFit="1" customWidth="1"/>
    <col min="4" max="4" width="16.7109375" style="3" bestFit="1" customWidth="1"/>
    <col min="5" max="5" width="132.42578125" style="3" bestFit="1" customWidth="1"/>
    <col min="6" max="16384" width="36" style="3"/>
  </cols>
  <sheetData>
    <row r="1" spans="1:5" s="1" customFormat="1" ht="15.75" x14ac:dyDescent="0.25">
      <c r="A1" s="1" t="s">
        <v>702</v>
      </c>
      <c r="B1" s="1" t="s">
        <v>704</v>
      </c>
      <c r="C1" s="1" t="s">
        <v>703</v>
      </c>
      <c r="D1" s="1" t="s">
        <v>705</v>
      </c>
      <c r="E1" s="1" t="s">
        <v>706</v>
      </c>
    </row>
    <row r="2" spans="1:5" x14ac:dyDescent="0.25">
      <c r="A2" s="4" t="s">
        <v>270</v>
      </c>
      <c r="B2" s="2" t="str">
        <f>SUBSTITUTE(SUBSTITUTE(SUBSTITUTE(SUBSTITUTE(SUBSTITUTE(SUBSTITUTE(A2,"""",""), "“", ""),  "”", ""), ".", ""), "–", ""), "‘", "")</f>
        <v>100% juice for 100% kids</v>
      </c>
      <c r="C2" s="4" t="s">
        <v>271</v>
      </c>
      <c r="D2" s="3" t="str">
        <f>GetFirstLettersOfAcronym(B2)</f>
        <v>1jf1k</v>
      </c>
      <c r="E2" s="3" t="str">
        <f xml:space="preserve"> CONCATENATE("map.add(new MatchingMnemonic(", CHAR(34), D2,  CHAR(34), ", ", "new MatchingMnemonicDetail(", CHAR(34), B2, CHAR(34), ", ", CHAR(34), C2, CHAR(34),")));")</f>
        <v>map.add(new MatchingMnemonic("1jf1k", new MatchingMnemonicDetail("100% juice for 100% kids", "Juicy Juice")));</v>
      </c>
    </row>
    <row r="3" spans="1:5" x14ac:dyDescent="0.25">
      <c r="A3" s="4" t="s">
        <v>240</v>
      </c>
      <c r="B3" s="2" t="str">
        <f>SUBSTITUTE(SUBSTITUTE(SUBSTITUTE(SUBSTITUTE(SUBSTITUTE(SUBSTITUTE(A3,"""",""), "“", ""),  "”", ""), ".", ""), "–", ""), "‘", "")</f>
        <v>57 varieties</v>
      </c>
      <c r="C3" s="4" t="s">
        <v>241</v>
      </c>
      <c r="D3" s="3" t="str">
        <f>GetFirstLettersOfAcronym(B3)</f>
        <v>5v</v>
      </c>
      <c r="E3" s="3" t="str">
        <f xml:space="preserve"> CONCATENATE("map.add(new MatchingMnemonic(", CHAR(34), D3,  CHAR(34), ", ", "new MatchingMnemonicDetail(", CHAR(34), B3, CHAR(34), ", ", CHAR(34), C3, CHAR(34),")));")</f>
        <v>map.add(new MatchingMnemonic("5v", new MatchingMnemonicDetail("57 varieties", "H.J. Heinz")));</v>
      </c>
    </row>
    <row r="4" spans="1:5" x14ac:dyDescent="0.25">
      <c r="A4" s="4" t="s">
        <v>260</v>
      </c>
      <c r="B4" s="2" t="str">
        <f>SUBSTITUTE(SUBSTITUTE(SUBSTITUTE(SUBSTITUTE(SUBSTITUTE(SUBSTITUTE(A4,"""",""), "“", ""),  "”", ""), ".", ""), "–", ""), "‘", "")</f>
        <v>9944% pure</v>
      </c>
      <c r="C4" s="4" t="s">
        <v>259</v>
      </c>
      <c r="D4" s="3" t="str">
        <f>GetFirstLettersOfAcronym(B4)</f>
        <v>9p</v>
      </c>
      <c r="E4" s="3" t="str">
        <f xml:space="preserve"> CONCATENATE("map.add(new MatchingMnemonic(", CHAR(34), D4,  CHAR(34), ", ", "new MatchingMnemonicDetail(", CHAR(34), B4, CHAR(34), ", ", CHAR(34), C4, CHAR(34),")));")</f>
        <v>map.add(new MatchingMnemonic("9p", new MatchingMnemonicDetail("9944% pure", "Ivory Soap")));</v>
      </c>
    </row>
    <row r="5" spans="1:5" x14ac:dyDescent="0.25">
      <c r="A5" s="4" t="s">
        <v>295</v>
      </c>
      <c r="B5" s="2" t="str">
        <f>SUBSTITUTE(SUBSTITUTE(SUBSTITUTE(SUBSTITUTE(SUBSTITUTE(SUBSTITUTE(A5,"""",""), "“", ""),  "”", ""), ".", ""), "–", ""), "‘", "")</f>
        <v>Always a bridesmaid, but never a bride</v>
      </c>
      <c r="C5" s="4" t="s">
        <v>296</v>
      </c>
      <c r="D5" s="3" t="str">
        <f>GetFirstLettersOfAcronym(B5)</f>
        <v>Aabbnab</v>
      </c>
      <c r="E5" s="3" t="str">
        <f xml:space="preserve"> CONCATENATE("map.add(new MatchingMnemonic(", CHAR(34), D5,  CHAR(34), ", ", "new MatchingMnemonicDetail(", CHAR(34), B5, CHAR(34), ", ", CHAR(34), C5, CHAR(34),")));")</f>
        <v>map.add(new MatchingMnemonic("Aabbnab", new MatchingMnemonicDetail("Always a bridesmaid, but never a bride", "Listerine")));</v>
      </c>
    </row>
    <row r="6" spans="1:5" x14ac:dyDescent="0.25">
      <c r="A6" t="s">
        <v>799</v>
      </c>
      <c r="B6" s="2" t="str">
        <f>SUBSTITUTE(SUBSTITUTE(SUBSTITUTE(SUBSTITUTE(SUBSTITUTE(SUBSTITUTE(TRIM(A6),"""",""), "“", ""),  "”", ""), ".", ""), "–", ""), "‘", "")</f>
        <v>And All because the lady loves milk tray</v>
      </c>
      <c r="C6" t="s">
        <v>897</v>
      </c>
      <c r="D6" s="3" t="str">
        <f>GetFirstLettersOfAcronym(B6)</f>
        <v>AAbtllmt</v>
      </c>
      <c r="E6" s="3" t="str">
        <f xml:space="preserve"> CONCATENATE("map.add(new MatchingMnemonic(", CHAR(34), D6,  CHAR(34), ", ", "new MatchingMnemonicDetail(", CHAR(34), B6, CHAR(34), ", ", CHAR(34), C6, CHAR(34),")));")</f>
        <v>map.add(new MatchingMnemonic("AAbtllmt", new MatchingMnemonicDetail("And All because the lady loves milk tray", "Cadbury’s Milk Tray")));</v>
      </c>
    </row>
    <row r="7" spans="1:5" x14ac:dyDescent="0.25">
      <c r="A7" s="2" t="s">
        <v>4</v>
      </c>
      <c r="B7" s="2" t="str">
        <f>SUBSTITUTE(SUBSTITUTE(SUBSTITUTE(SUBSTITUTE(SUBSTITUTE(SUBSTITUTE(A7,"""",""), "“", ""),  "”", ""), ".", ""), "–", ""), "‘", "")</f>
        <v>Ask about it at work</v>
      </c>
      <c r="C7" s="2" t="s">
        <v>5</v>
      </c>
      <c r="D7" s="3" t="str">
        <f>GetFirstLettersOfAcronym(B7)</f>
        <v>Aaiaw</v>
      </c>
      <c r="E7" s="3" t="str">
        <f xml:space="preserve"> CONCATENATE("map.add(new MatchingMnemonic(", CHAR(34), D7,  CHAR(34), ", ", "new MatchingMnemonicDetail(", CHAR(34), B7, CHAR(34), ", ", CHAR(34), C7, CHAR(34),")));")</f>
        <v>map.add(new MatchingMnemonic("Aaiaw", new MatchingMnemonicDetail("Ask about it at work", "Aflac")));</v>
      </c>
    </row>
    <row r="8" spans="1:5" x14ac:dyDescent="0.25">
      <c r="A8" s="2" t="s">
        <v>640</v>
      </c>
      <c r="B8" s="2" t="str">
        <f>SUBSTITUTE(SUBSTITUTE(SUBSTITUTE(SUBSTITUTE(SUBSTITUTE(SUBSTITUTE(A8,"""",""), "“", ""),  "”", ""), ".", ""), "–", ""), "‘", "")</f>
        <v>And America spells cheeseK-R-A-F-T</v>
      </c>
      <c r="C8" s="2" t="s">
        <v>641</v>
      </c>
      <c r="D8" s="3" t="str">
        <f>GetFirstLettersOfAcronym(B8)</f>
        <v>AAsc</v>
      </c>
      <c r="E8" s="3" t="str">
        <f xml:space="preserve"> CONCATENATE("map.add(new MatchingMnemonic(", CHAR(34), D8,  CHAR(34), ", ", "new MatchingMnemonicDetail(", CHAR(34), B8, CHAR(34), ", ", CHAR(34), C8, CHAR(34),")));")</f>
        <v>map.add(new MatchingMnemonic("AAsc", new MatchingMnemonicDetail("And America spells cheeseK-R-A-F-T", "Kraft")));</v>
      </c>
    </row>
    <row r="9" spans="1:5" x14ac:dyDescent="0.25">
      <c r="A9" t="s">
        <v>796</v>
      </c>
      <c r="B9" s="2" t="str">
        <f>SUBSTITUTE(SUBSTITUTE(SUBSTITUTE(SUBSTITUTE(SUBSTITUTE(SUBSTITUTE(TRIM(A9),"""",""), "“", ""),  "”", ""), ".", ""), "–", ""), "‘", "")</f>
        <v>Ah! Bisto</v>
      </c>
      <c r="C9" t="s">
        <v>759</v>
      </c>
      <c r="D9" s="3" t="str">
        <f>GetFirstLettersOfAcronym(B9)</f>
        <v>AB</v>
      </c>
      <c r="E9" s="3" t="str">
        <f xml:space="preserve"> CONCATENATE("map.add(new MatchingMnemonic(", CHAR(34), D9,  CHAR(34), ", ", "new MatchingMnemonicDetail(", CHAR(34), B9, CHAR(34), ", ", CHAR(34), C9, CHAR(34),")));")</f>
        <v>map.add(new MatchingMnemonic("AB", new MatchingMnemonicDetail("Ah! Bisto", "Bisto")));</v>
      </c>
    </row>
    <row r="10" spans="1:5" x14ac:dyDescent="0.25">
      <c r="A10" t="s">
        <v>758</v>
      </c>
      <c r="B10" s="2" t="str">
        <f>SUBSTITUTE(SUBSTITUTE(SUBSTITUTE(SUBSTITUTE(SUBSTITUTE(SUBSTITUTE(TRIM(A10),"""",""), "“", ""),  "”", ""), ".", ""), "–", ""), "‘", "")</f>
        <v>Ah, Bisto!</v>
      </c>
      <c r="C10" t="s">
        <v>759</v>
      </c>
      <c r="D10" s="3" t="str">
        <f>GetFirstLettersOfAcronym(B10)</f>
        <v>AB</v>
      </c>
      <c r="E10" s="3" t="str">
        <f xml:space="preserve"> CONCATENATE("map.add(new MatchingMnemonic(", CHAR(34), D10,  CHAR(34), ", ", "new MatchingMnemonicDetail(", CHAR(34), B10, CHAR(34), ", ", CHAR(34), C10, CHAR(34),")));")</f>
        <v>map.add(new MatchingMnemonic("AB", new MatchingMnemonicDetail("Ah, Bisto!", "Bisto")));</v>
      </c>
    </row>
    <row r="11" spans="1:5" x14ac:dyDescent="0.25">
      <c r="A11" s="4" t="s">
        <v>232</v>
      </c>
      <c r="B11" s="2" t="str">
        <f>SUBSTITUTE(SUBSTITUTE(SUBSTITUTE(SUBSTITUTE(SUBSTITUTE(SUBSTITUTE(A11,"""",""), "“", ""),  "”", ""), ".", ""), "–", ""), "‘", "")</f>
        <v>American by birth Rebel by choice</v>
      </c>
      <c r="C11" s="4" t="s">
        <v>233</v>
      </c>
      <c r="D11" s="3" t="str">
        <f>GetFirstLettersOfAcronym(B11)</f>
        <v>AbbRbc</v>
      </c>
      <c r="E11" s="3" t="str">
        <f xml:space="preserve"> CONCATENATE("map.add(new MatchingMnemonic(", CHAR(34), D11,  CHAR(34), ", ", "new MatchingMnemonicDetail(", CHAR(34), B11, CHAR(34), ", ", CHAR(34), C11, CHAR(34),")));")</f>
        <v>map.add(new MatchingMnemonic("AbbRbc", new MatchingMnemonicDetail("American by birth Rebel by choice", "Harley Davidson")));</v>
      </c>
    </row>
    <row r="12" spans="1:5" x14ac:dyDescent="0.25">
      <c r="A12" t="s">
        <v>846</v>
      </c>
      <c r="B12" s="2" t="str">
        <f>SUBSTITUTE(SUBSTITUTE(SUBSTITUTE(SUBSTITUTE(SUBSTITUTE(SUBSTITUTE(TRIM(A12),"""",""), "“", ""),  "”", ""), ".", ""), "–", ""), "‘", "")</f>
        <v>American by birth, rebel by choice</v>
      </c>
      <c r="C12" t="s">
        <v>233</v>
      </c>
      <c r="D12" s="3" t="str">
        <f>GetFirstLettersOfAcronym(B12)</f>
        <v>Abbrbc</v>
      </c>
      <c r="E12" s="3" t="str">
        <f xml:space="preserve"> CONCATENATE("map.add(new MatchingMnemonic(", CHAR(34), D12,  CHAR(34), ", ", "new MatchingMnemonicDetail(", CHAR(34), B12, CHAR(34), ", ", CHAR(34), C12, CHAR(34),")));")</f>
        <v>map.add(new MatchingMnemonic("Abbrbc", new MatchingMnemonicDetail("American by birth, rebel by choice", "Harley Davidson")));</v>
      </c>
    </row>
    <row r="13" spans="1:5" x14ac:dyDescent="0.25">
      <c r="A13" s="2" t="s">
        <v>78</v>
      </c>
      <c r="B13" s="2" t="str">
        <f>SUBSTITUTE(SUBSTITUTE(SUBSTITUTE(SUBSTITUTE(SUBSTITUTE(SUBSTITUTE(A13,"""",""), "“", ""),  "”", ""), ".", ""), "–", ""), "‘", "")</f>
        <v>A can a week, that’s all we ask</v>
      </c>
      <c r="C13" s="2" t="s">
        <v>79</v>
      </c>
      <c r="D13" s="3" t="str">
        <f>GetFirstLettersOfAcronym(B13)</f>
        <v>Acawtawa</v>
      </c>
      <c r="E13" s="3" t="str">
        <f xml:space="preserve"> CONCATENATE("map.add(new MatchingMnemonic(", CHAR(34), D13,  CHAR(34), ", ", "new MatchingMnemonicDetail(", CHAR(34), B13, CHAR(34), ", ", CHAR(34), C13, CHAR(34),")));")</f>
        <v>map.add(new MatchingMnemonic("Acawtawa", new MatchingMnemonicDetail("A can a week, that’s all we ask", "California Almond Growers")));</v>
      </c>
    </row>
    <row r="14" spans="1:5" x14ac:dyDescent="0.25">
      <c r="A14" t="s">
        <v>801</v>
      </c>
      <c r="B14" s="2" t="str">
        <f>SUBSTITUTE(SUBSTITUTE(SUBSTITUTE(SUBSTITUTE(SUBSTITUTE(SUBSTITUTE(TRIM(A14),"""",""), "“", ""),  "”", ""), ".", ""), "–", ""), "‘", "")</f>
        <v>A diamond is forever</v>
      </c>
      <c r="C14" t="s">
        <v>899</v>
      </c>
      <c r="D14" s="3" t="str">
        <f>GetFirstLettersOfAcronym(B14)</f>
        <v>Adif</v>
      </c>
      <c r="E14" s="3" t="str">
        <f xml:space="preserve"> CONCATENATE("map.add(new MatchingMnemonic(", CHAR(34), D14,  CHAR(34), ", ", "new MatchingMnemonicDetail(", CHAR(34), B14, CHAR(34), ", ", CHAR(34), C14, CHAR(34),")));")</f>
        <v>map.add(new MatchingMnemonic("Adif", new MatchingMnemonicDetail("A diamond is forever", "De Beers")));</v>
      </c>
    </row>
    <row r="15" spans="1:5" x14ac:dyDescent="0.25">
      <c r="A15" s="4" t="s">
        <v>671</v>
      </c>
      <c r="B15" s="2" t="str">
        <f>SUBSTITUTE(SUBSTITUTE(SUBSTITUTE(SUBSTITUTE(SUBSTITUTE(SUBSTITUTE(A15,"""",""), "“", ""),  "”", ""), ".", ""), "–", ""), "‘", "")</f>
        <v>Away go troubles down the drain</v>
      </c>
      <c r="C15" s="4" t="s">
        <v>672</v>
      </c>
      <c r="D15" s="3" t="str">
        <f>GetFirstLettersOfAcronym(B15)</f>
        <v>Agtdtd</v>
      </c>
      <c r="E15" s="3" t="str">
        <f xml:space="preserve"> CONCATENATE("map.add(new MatchingMnemonic(", CHAR(34), D15,  CHAR(34), ", ", "new MatchingMnemonicDetail(", CHAR(34), B15, CHAR(34), ", ", CHAR(34), C15, CHAR(34),")));")</f>
        <v>map.add(new MatchingMnemonic("Agtdtd", new MatchingMnemonicDetail("Away go troubles down the drain", "Roto-Rooter")));</v>
      </c>
    </row>
    <row r="16" spans="1:5" ht="28.5" x14ac:dyDescent="0.25">
      <c r="A16" s="2" t="s">
        <v>592</v>
      </c>
      <c r="B16" s="2" t="str">
        <f>SUBSTITUTE(SUBSTITUTE(SUBSTITUTE(SUBSTITUTE(SUBSTITUTE(SUBSTITUTE(A16,"""",""), "“", ""),  "”", ""), ".", ""), "–", ""), "‘", "")</f>
        <v>Ace is the place with the helpful hardware man</v>
      </c>
      <c r="C16" s="2" t="s">
        <v>593</v>
      </c>
      <c r="D16" s="3" t="str">
        <f>GetFirstLettersOfAcronym(B16)</f>
        <v>Aitpwthhm</v>
      </c>
      <c r="E16" s="3" t="str">
        <f xml:space="preserve"> CONCATENATE("map.add(new MatchingMnemonic(", CHAR(34), D16,  CHAR(34), ", ", "new MatchingMnemonicDetail(", CHAR(34), B16, CHAR(34), ", ", CHAR(34), C16, CHAR(34),")));")</f>
        <v>map.add(new MatchingMnemonic("Aitpwthhm", new MatchingMnemonicDetail("Ace is the place with the helpful hardware man", "Ace Hardware")));</v>
      </c>
    </row>
    <row r="17" spans="1:5" x14ac:dyDescent="0.25">
      <c r="A17" s="4" t="s">
        <v>601</v>
      </c>
      <c r="B17" s="2" t="str">
        <f>SUBSTITUTE(SUBSTITUTE(SUBSTITUTE(SUBSTITUTE(SUBSTITUTE(SUBSTITUTE(A17,"""",""), "“", ""),  "”", ""), ".", ""), "–", ""), "‘", "")</f>
        <v>A little dab’ll do ya</v>
      </c>
      <c r="C17" s="4" t="s">
        <v>602</v>
      </c>
      <c r="D17" s="3" t="str">
        <f>GetFirstLettersOfAcronym(B17)</f>
        <v>Alddy</v>
      </c>
      <c r="E17" s="3" t="str">
        <f xml:space="preserve"> CONCATENATE("map.add(new MatchingMnemonic(", CHAR(34), D17,  CHAR(34), ", ", "new MatchingMnemonicDetail(", CHAR(34), B17, CHAR(34), ", ", CHAR(34), C17, CHAR(34),")));")</f>
        <v>map.add(new MatchingMnemonic("Alddy", new MatchingMnemonicDetail("A little dab’ll do ya", "Brylcreem")));</v>
      </c>
    </row>
    <row r="18" spans="1:5" x14ac:dyDescent="0.25">
      <c r="A18" s="4" t="s">
        <v>568</v>
      </c>
      <c r="B18" s="2" t="str">
        <f>SUBSTITUTE(SUBSTITUTE(SUBSTITUTE(SUBSTITUTE(SUBSTITUTE(SUBSTITUTE(A18,"""",""), "“", ""),  "”", ""), ".", ""), "–", ""), "‘", "")</f>
        <v>Always low prices Always</v>
      </c>
      <c r="C18" s="4" t="s">
        <v>569</v>
      </c>
      <c r="D18" s="3" t="str">
        <f>GetFirstLettersOfAcronym(B18)</f>
        <v>AlpA</v>
      </c>
      <c r="E18" s="3" t="str">
        <f xml:space="preserve"> CONCATENATE("map.add(new MatchingMnemonic(", CHAR(34), D18,  CHAR(34), ", ", "new MatchingMnemonicDetail(", CHAR(34), B18, CHAR(34), ", ", CHAR(34), C18, CHAR(34),")));")</f>
        <v>map.add(new MatchingMnemonic("AlpA", new MatchingMnemonicDetail("Always low prices Always", "Wal-Mart")));</v>
      </c>
    </row>
    <row r="19" spans="1:5" x14ac:dyDescent="0.25">
      <c r="A19" t="s">
        <v>819</v>
      </c>
      <c r="B19" s="2" t="str">
        <f>SUBSTITUTE(SUBSTITUTE(SUBSTITUTE(SUBSTITUTE(SUBSTITUTE(SUBSTITUTE(TRIM(A19),"""",""), "“", ""),  "”", ""), ".", ""), "–", ""), "‘", "")</f>
        <v>A Mars a day helps you work, rest and play</v>
      </c>
      <c r="C19" t="s">
        <v>917</v>
      </c>
      <c r="D19" s="3" t="str">
        <f>GetFirstLettersOfAcronym(B19)</f>
        <v>AMadhywrap</v>
      </c>
      <c r="E19" s="3" t="str">
        <f xml:space="preserve"> CONCATENATE("map.add(new MatchingMnemonic(", CHAR(34), D19,  CHAR(34), ", ", "new MatchingMnemonicDetail(", CHAR(34), B19, CHAR(34), ", ", CHAR(34), C19, CHAR(34),")));")</f>
        <v>map.add(new MatchingMnemonic("AMadhywrap", new MatchingMnemonicDetail("A Mars a day helps you work, rest and play", "Mars")));</v>
      </c>
    </row>
    <row r="20" spans="1:5" x14ac:dyDescent="0.25">
      <c r="A20" s="2" t="s">
        <v>265</v>
      </c>
      <c r="B20" s="2" t="str">
        <f>SUBSTITUTE(SUBSTITUTE(SUBSTITUTE(SUBSTITUTE(SUBSTITUTE(SUBSTITUTE(A20,"""",""), "“", ""),  "”", ""), ".", ""), "–", ""), "‘", "")</f>
        <v>America’s most famous dessert</v>
      </c>
      <c r="C20" s="2" t="s">
        <v>266</v>
      </c>
      <c r="D20" s="3" t="str">
        <f>GetFirstLettersOfAcronym(B20)</f>
        <v>Amfd</v>
      </c>
      <c r="E20" s="3" t="str">
        <f xml:space="preserve"> CONCATENATE("map.add(new MatchingMnemonic(", CHAR(34), D20,  CHAR(34), ", ", "new MatchingMnemonicDetail(", CHAR(34), B20, CHAR(34), ", ", CHAR(34), C20, CHAR(34),")));")</f>
        <v>map.add(new MatchingMnemonic("Amfd", new MatchingMnemonicDetail("America’s most famous dessert", "Jell-O")));</v>
      </c>
    </row>
    <row r="21" spans="1:5" x14ac:dyDescent="0.25">
      <c r="A21" t="s">
        <v>837</v>
      </c>
      <c r="B21" s="2" t="str">
        <f>SUBSTITUTE(SUBSTITUTE(SUBSTITUTE(SUBSTITUTE(SUBSTITUTE(SUBSTITUTE(TRIM(A21),"""",""), "“", ""),  "”", ""), ".", ""), "–", ""), "‘", "")</f>
        <v>A newspaper, not a snoozepaper</v>
      </c>
      <c r="C21" t="s">
        <v>939</v>
      </c>
      <c r="D21" s="3" t="str">
        <f>GetFirstLettersOfAcronym(B21)</f>
        <v>Annas</v>
      </c>
      <c r="E21" s="3" t="str">
        <f xml:space="preserve"> CONCATENATE("map.add(new MatchingMnemonic(", CHAR(34), D21,  CHAR(34), ", ", "new MatchingMnemonicDetail(", CHAR(34), B21, CHAR(34), ", ", CHAR(34), C21, CHAR(34),")));")</f>
        <v>map.add(new MatchingMnemonic("Annas", new MatchingMnemonicDetail("A newspaper, not a snoozepaper", "The Mail on Sunday")));</v>
      </c>
    </row>
    <row r="22" spans="1:5" x14ac:dyDescent="0.25">
      <c r="A22" s="2" t="s">
        <v>101</v>
      </c>
      <c r="B22" s="2" t="str">
        <f>SUBSTITUTE(SUBSTITUTE(SUBSTITUTE(SUBSTITUTE(SUBSTITUTE(SUBSTITUTE(A22,"""",""), "“", ""),  "”", ""), ".", ""), "–", ""), "‘", "")</f>
        <v>A silly millimeter longer</v>
      </c>
      <c r="C22" s="2" t="s">
        <v>102</v>
      </c>
      <c r="D22" s="3" t="str">
        <f>GetFirstLettersOfAcronym(B22)</f>
        <v>Asml</v>
      </c>
      <c r="E22" s="3" t="str">
        <f xml:space="preserve"> CONCATENATE("map.add(new MatchingMnemonic(", CHAR(34), D22,  CHAR(34), ", ", "new MatchingMnemonicDetail(", CHAR(34), B22, CHAR(34), ", ", CHAR(34), C22, CHAR(34),")));")</f>
        <v>map.add(new MatchingMnemonic("Asml", new MatchingMnemonicDetail("A silly millimeter longer", "Chesterfield Cigarettes")));</v>
      </c>
    </row>
    <row r="23" spans="1:5" x14ac:dyDescent="0.25">
      <c r="A23" s="2" t="s">
        <v>368</v>
      </c>
      <c r="B23" s="2" t="str">
        <f>SUBSTITUTE(SUBSTITUTE(SUBSTITUTE(SUBSTITUTE(SUBSTITUTE(SUBSTITUTE(A23,"""",""), "“", ""),  "”", ""), ".", ""), "–", ""), "‘", "")</f>
        <v>At the heart of the image</v>
      </c>
      <c r="C23" s="2" t="s">
        <v>369</v>
      </c>
      <c r="D23" s="3" t="str">
        <f>GetFirstLettersOfAcronym(B23)</f>
        <v>Athoti</v>
      </c>
      <c r="E23" s="3" t="str">
        <f xml:space="preserve"> CONCATENATE("map.add(new MatchingMnemonic(", CHAR(34), D23,  CHAR(34), ", ", "new MatchingMnemonicDetail(", CHAR(34), B23, CHAR(34), ", ", CHAR(34), C23, CHAR(34),")));")</f>
        <v>map.add(new MatchingMnemonic("Athoti", new MatchingMnemonicDetail("At the heart of the image", "Nikon")));</v>
      </c>
    </row>
    <row r="24" spans="1:5" x14ac:dyDescent="0.25">
      <c r="A24" s="4" t="s">
        <v>472</v>
      </c>
      <c r="B24" s="2" t="str">
        <f>SUBSTITUTE(SUBSTITUTE(SUBSTITUTE(SUBSTITUTE(SUBSTITUTE(SUBSTITUTE(A24,"""",""), "“", ""),  "”", ""), ".", ""), "–", ""), "‘", "")</f>
        <v>Always there in a pinch</v>
      </c>
      <c r="C24" s="4" t="s">
        <v>473</v>
      </c>
      <c r="D24" s="3" t="str">
        <f>GetFirstLettersOfAcronym(B24)</f>
        <v>Atiap</v>
      </c>
      <c r="E24" s="3" t="str">
        <f xml:space="preserve"> CONCATENATE("map.add(new MatchingMnemonic(", CHAR(34), D24,  CHAR(34), ", ", "new MatchingMnemonicDetail(", CHAR(34), B24, CHAR(34), ", ", CHAR(34), C24, CHAR(34),")));")</f>
        <v>map.add(new MatchingMnemonic("Atiap", new MatchingMnemonicDetail("Always there in a pinch", "Skoal")));</v>
      </c>
    </row>
    <row r="25" spans="1:5" x14ac:dyDescent="0.25">
      <c r="A25" s="4" t="s">
        <v>398</v>
      </c>
      <c r="B25" s="2" t="str">
        <f>SUBSTITUTE(SUBSTITUTE(SUBSTITUTE(SUBSTITUTE(SUBSTITUTE(SUBSTITUTE(A25,"""",""), "“", ""),  "”", ""), ".", ""), "–", ""), "‘", "")</f>
        <v>Ask the man who owns one</v>
      </c>
      <c r="C25" s="4" t="s">
        <v>399</v>
      </c>
      <c r="D25" s="3" t="str">
        <f>GetFirstLettersOfAcronym(B25)</f>
        <v>Atmwoo</v>
      </c>
      <c r="E25" s="3" t="str">
        <f xml:space="preserve"> CONCATENATE("map.add(new MatchingMnemonic(", CHAR(34), D25,  CHAR(34), ", ", "new MatchingMnemonicDetail(", CHAR(34), B25, CHAR(34), ", ", CHAR(34), C25, CHAR(34),")));")</f>
        <v>map.add(new MatchingMnemonic("Atmwoo", new MatchingMnemonicDetail("Ask the man who owns one", "Packard")));</v>
      </c>
    </row>
    <row r="26" spans="1:5" x14ac:dyDescent="0.25">
      <c r="A26" s="2" t="s">
        <v>364</v>
      </c>
      <c r="B26" s="2" t="str">
        <f>SUBSTITUTE(SUBSTITUTE(SUBSTITUTE(SUBSTITUTE(SUBSTITUTE(SUBSTITUTE(A26,"""",""), "“", ""),  "”", ""), ".", ""), "–", ""), "‘", "")</f>
        <v>All the news that’s fit to print</v>
      </c>
      <c r="C26" s="2" t="s">
        <v>365</v>
      </c>
      <c r="D26" s="3" t="str">
        <f>GetFirstLettersOfAcronym(B26)</f>
        <v>Atntftp</v>
      </c>
      <c r="E26" s="3" t="str">
        <f xml:space="preserve"> CONCATENATE("map.add(new MatchingMnemonic(", CHAR(34), D26,  CHAR(34), ", ", "new MatchingMnemonicDetail(", CHAR(34), B26, CHAR(34), ", ", CHAR(34), C26, CHAR(34),")));")</f>
        <v>map.add(new MatchingMnemonic("Atntftp", new MatchingMnemonicDetail("All the news that’s fit to print", "The New York Times")));</v>
      </c>
    </row>
    <row r="27" spans="1:5" x14ac:dyDescent="0.25">
      <c r="A27" s="2" t="s">
        <v>520</v>
      </c>
      <c r="B27" s="2" t="str">
        <f>SUBSTITUTE(SUBSTITUTE(SUBSTITUTE(SUBSTITUTE(SUBSTITUTE(SUBSTITUTE(A27,"""",""), "“", ""),  "”", ""), ".", ""), "–", ""), "‘", "")</f>
        <v>A vital part of your world</v>
      </c>
      <c r="C27" s="2" t="s">
        <v>521</v>
      </c>
      <c r="D27" s="3" t="str">
        <f>GetFirstLettersOfAcronym(B27)</f>
        <v>Avpoyw</v>
      </c>
      <c r="E27" s="3" t="str">
        <f xml:space="preserve"> CONCATENATE("map.add(new MatchingMnemonic(", CHAR(34), D27,  CHAR(34), ", ", "new MatchingMnemonicDetail(", CHAR(34), B27, CHAR(34), ", ", CHAR(34), C27, CHAR(34),")));")</f>
        <v>map.add(new MatchingMnemonic("Avpoyw", new MatchingMnemonicDetail("A vital part of your world", "Tyco")));</v>
      </c>
    </row>
    <row r="28" spans="1:5" ht="28.5" x14ac:dyDescent="0.25">
      <c r="A28" t="s">
        <v>798</v>
      </c>
      <c r="B28" s="2" t="str">
        <f>SUBSTITUTE(SUBSTITUTE(SUBSTITUTE(SUBSTITUTE(SUBSTITUTE(SUBSTITUTE(TRIM(A28),"""",""), "“", ""),  "”", ""), ".", ""), "–", ""), "‘", "")</f>
        <v>Are you a cadbury’s Fruit &amp; Nut caase?</v>
      </c>
      <c r="C28" t="s">
        <v>896</v>
      </c>
      <c r="D28" s="3" t="str">
        <f>GetFirstLettersOfAcronym(B28)</f>
        <v>AyacF&amp;Nc</v>
      </c>
      <c r="E28" s="3" t="str">
        <f xml:space="preserve"> CONCATENATE("map.add(new MatchingMnemonic(", CHAR(34), D28,  CHAR(34), ", ", "new MatchingMnemonicDetail(", CHAR(34), B28, CHAR(34), ", ", CHAR(34), C28, CHAR(34),")));")</f>
        <v>map.add(new MatchingMnemonic("AyacF&amp;Nc", new MatchingMnemonicDetail("Are you a cadbury’s Fruit &amp; Nut caase?", "Cadbury’s Fruit &amp; Nut")));</v>
      </c>
    </row>
    <row r="29" spans="1:5" x14ac:dyDescent="0.25">
      <c r="A29" s="4" t="s">
        <v>153</v>
      </c>
      <c r="B29" s="2" t="str">
        <f>SUBSTITUTE(SUBSTITUTE(SUBSTITUTE(SUBSTITUTE(SUBSTITUTE(SUBSTITUTE(A29,"""",""), "“", ""),  "”", ""), ".", ""), "–", ""), "‘", "")</f>
        <v>Aren’t you glad you use Dial? Don’t you wish everybody did?</v>
      </c>
      <c r="C29" s="4" t="s">
        <v>154</v>
      </c>
      <c r="D29" s="3" t="str">
        <f>GetFirstLettersOfAcronym(B29)</f>
        <v>AygyuDDywed</v>
      </c>
      <c r="E29" s="3" t="str">
        <f xml:space="preserve"> CONCATENATE("map.add(new MatchingMnemonic(", CHAR(34), D29,  CHAR(34), ", ", "new MatchingMnemonicDetail(", CHAR(34), B29, CHAR(34), ", ", CHAR(34), C29, CHAR(34),")));")</f>
        <v>map.add(new MatchingMnemonic("AygyuDDywed", new MatchingMnemonicDetail("Aren’t you glad you use Dial? Don’t you wish everybody did?", "Dial Soap")));</v>
      </c>
    </row>
    <row r="30" spans="1:5" x14ac:dyDescent="0.25">
      <c r="A30" s="4" t="s">
        <v>584</v>
      </c>
      <c r="B30" s="2" t="str">
        <f>SUBSTITUTE(SUBSTITUTE(SUBSTITUTE(SUBSTITUTE(SUBSTITUTE(SUBSTITUTE(A30,"""",""), "“", ""),  "”", ""), ".", ""), "–", ""), "‘", "")</f>
        <v>Believe</v>
      </c>
      <c r="C30" s="4" t="s">
        <v>585</v>
      </c>
      <c r="D30" s="3" t="str">
        <f>GetFirstLettersOfAcronym(B30)</f>
        <v>B</v>
      </c>
      <c r="E30" s="3" t="str">
        <f xml:space="preserve"> CONCATENATE("map.add(new MatchingMnemonic(", CHAR(34), D30,  CHAR(34), ", ", "new MatchingMnemonicDetail(", CHAR(34), B30, CHAR(34), ", ", CHAR(34), C30, CHAR(34),")));")</f>
        <v>map.add(new MatchingMnemonic("B", new MatchingMnemonicDetail("Believe", "Yahoo! Personals")));</v>
      </c>
    </row>
    <row r="31" spans="1:5" x14ac:dyDescent="0.25">
      <c r="A31" s="2" t="s">
        <v>208</v>
      </c>
      <c r="B31" s="2" t="str">
        <f>SUBSTITUTE(SUBSTITUTE(SUBSTITUTE(SUBSTITUTE(SUBSTITUTE(SUBSTITUTE(A31,"""",""), "“", ""),  "”", ""), ".", ""), "–", ""), "‘", "")</f>
        <v>Babies are our business</v>
      </c>
      <c r="C31" s="2" t="s">
        <v>209</v>
      </c>
      <c r="D31" s="3" t="str">
        <f>GetFirstLettersOfAcronym(B31)</f>
        <v>Baob</v>
      </c>
      <c r="E31" s="3" t="str">
        <f xml:space="preserve"> CONCATENATE("map.add(new MatchingMnemonic(", CHAR(34), D31,  CHAR(34), ", ", "new MatchingMnemonicDetail(", CHAR(34), B31, CHAR(34), ", ", CHAR(34), C31, CHAR(34),")));")</f>
        <v>map.add(new MatchingMnemonic("Baob", new MatchingMnemonicDetail("Babies are our business", "Gerber")));</v>
      </c>
    </row>
    <row r="32" spans="1:5" x14ac:dyDescent="0.25">
      <c r="A32" s="2" t="s">
        <v>695</v>
      </c>
      <c r="B32" s="2" t="str">
        <f>SUBSTITUTE(SUBSTITUTE(SUBSTITUTE(SUBSTITUTE(SUBSTITUTE(SUBSTITUTE(A32,"""",""), "“", ""),  "”", ""), ".", ""), "–", ""), "‘", "")</f>
        <v>Be all that you can be</v>
      </c>
      <c r="C32" s="2" t="s">
        <v>535</v>
      </c>
      <c r="D32" s="3" t="str">
        <f>GetFirstLettersOfAcronym(B32)</f>
        <v>Batycb</v>
      </c>
      <c r="E32" s="3" t="str">
        <f xml:space="preserve"> CONCATENATE("map.add(new MatchingMnemonic(", CHAR(34), D32,  CHAR(34), ", ", "new MatchingMnemonicDetail(", CHAR(34), B32, CHAR(34), ", ", CHAR(34), C32, CHAR(34),")));")</f>
        <v>map.add(new MatchingMnemonic("Batycb", new MatchingMnemonicDetail("Be all that you can be", "U.S. Army")));</v>
      </c>
    </row>
    <row r="33" spans="1:5" x14ac:dyDescent="0.25">
      <c r="A33" s="2" t="s">
        <v>0</v>
      </c>
      <c r="B33" s="2" t="str">
        <f>SUBSTITUTE(SUBSTITUTE(SUBSTITUTE(SUBSTITUTE(SUBSTITUTE(SUBSTITUTE(A33,"""",""), "“", ""),  "”", ""), ".", ""), "–", ""), "‘", "")</f>
        <v>Better by Adobe</v>
      </c>
      <c r="C33" s="2" t="s">
        <v>1</v>
      </c>
      <c r="D33" s="3" t="str">
        <f>GetFirstLettersOfAcronym(B33)</f>
        <v>BbA</v>
      </c>
      <c r="E33" s="3" t="str">
        <f xml:space="preserve"> CONCATENATE("map.add(new MatchingMnemonic(", CHAR(34), D33,  CHAR(34), ", ", "new MatchingMnemonicDetail(", CHAR(34), B33, CHAR(34), ", ", CHAR(34), C33, CHAR(34),")));")</f>
        <v>map.add(new MatchingMnemonic("BbA", new MatchingMnemonicDetail("Better by Adobe", "Adobe")));</v>
      </c>
    </row>
    <row r="34" spans="1:5" x14ac:dyDescent="0.25">
      <c r="A34" t="s">
        <v>815</v>
      </c>
      <c r="B34" s="2" t="str">
        <f>SUBSTITUTE(SUBSTITUTE(SUBSTITUTE(SUBSTITUTE(SUBSTITUTE(SUBSTITUTE(TRIM(A34),"""",""), "“", ""),  "”", ""), ".", ""), "–", ""), "‘", "")</f>
        <v>Betcha can’t eat just one</v>
      </c>
      <c r="C34" t="s">
        <v>876</v>
      </c>
      <c r="D34" s="3" t="str">
        <f>GetFirstLettersOfAcronym(B34)</f>
        <v>Bcejo</v>
      </c>
      <c r="E34" s="3" t="str">
        <f xml:space="preserve"> CONCATENATE("map.add(new MatchingMnemonic(", CHAR(34), D34,  CHAR(34), ", ", "new MatchingMnemonicDetail(", CHAR(34), B34, CHAR(34), ", ", CHAR(34), C34, CHAR(34),")));")</f>
        <v>map.add(new MatchingMnemonic("Bcejo", new MatchingMnemonicDetail("Betcha can’t eat just one", "Lay’s")));</v>
      </c>
    </row>
    <row r="35" spans="1:5" x14ac:dyDescent="0.25">
      <c r="A35" t="s">
        <v>889</v>
      </c>
      <c r="B35" s="2" t="str">
        <f>SUBSTITUTE(SUBSTITUTE(SUBSTITUTE(SUBSTITUTE(SUBSTITUTE(SUBSTITUTE(TRIM(A35),"""",""), "“", ""),  "”", ""), ".", ""), "–", ""), "‘", "")</f>
        <v>Because Change Happens</v>
      </c>
      <c r="C35" t="s">
        <v>952</v>
      </c>
      <c r="D35" s="3" t="str">
        <f>GetFirstLettersOfAcronym(B35)</f>
        <v>BCH</v>
      </c>
      <c r="E35" s="3" t="str">
        <f xml:space="preserve"> CONCATENATE("map.add(new MatchingMnemonic(", CHAR(34), D35,  CHAR(34), ", ", "new MatchingMnemonicDetail(", CHAR(34), B35, CHAR(34), ", ", CHAR(34), C35, CHAR(34),")));")</f>
        <v>map.add(new MatchingMnemonic("BCH", new MatchingMnemonicDetail("Because Change Happens", "Zurich")));</v>
      </c>
    </row>
    <row r="36" spans="1:5" x14ac:dyDescent="0.25">
      <c r="A36" s="4" t="s">
        <v>189</v>
      </c>
      <c r="B36" s="2" t="str">
        <f>SUBSTITUTE(SUBSTITUTE(SUBSTITUTE(SUBSTITUTE(SUBSTITUTE(SUBSTITUTE(A36,"""",""), "“", ""),  "”", ""), ".", ""), "–", ""), "‘", "")</f>
        <v>Built for the road ahead</v>
      </c>
      <c r="C36" s="4" t="s">
        <v>190</v>
      </c>
      <c r="D36" s="3" t="str">
        <f>GetFirstLettersOfAcronym(B36)</f>
        <v>Bftra</v>
      </c>
      <c r="E36" s="3" t="str">
        <f xml:space="preserve"> CONCATENATE("map.add(new MatchingMnemonic(", CHAR(34), D36,  CHAR(34), ", ", "new MatchingMnemonicDetail(", CHAR(34), B36, CHAR(34), ", ", CHAR(34), C36, CHAR(34),")));")</f>
        <v>map.add(new MatchingMnemonic("Bftra", new MatchingMnemonicDetail("Built for the road ahead", "Ford")));</v>
      </c>
    </row>
    <row r="37" spans="1:5" ht="28.5" x14ac:dyDescent="0.25">
      <c r="A37" s="4" t="s">
        <v>352</v>
      </c>
      <c r="B37" s="2" t="str">
        <f>SUBSTITUTE(SUBSTITUTE(SUBSTITUTE(SUBSTITUTE(SUBSTITUTE(SUBSTITUTE(A37,"""",""), "“", ""),  "”", ""), ".", ""), "–", ""), "‘", "")</f>
        <v>Beef It’s what’s for dinner</v>
      </c>
      <c r="C37" s="4" t="s">
        <v>353</v>
      </c>
      <c r="D37" s="3" t="str">
        <f>GetFirstLettersOfAcronym(B37)</f>
        <v>BIwfd</v>
      </c>
      <c r="E37" s="3" t="str">
        <f xml:space="preserve"> CONCATENATE("map.add(new MatchingMnemonic(", CHAR(34), D37,  CHAR(34), ", ", "new MatchingMnemonicDetail(", CHAR(34), B37, CHAR(34), ", ", CHAR(34), C37, CHAR(34),")));")</f>
        <v>map.add(new MatchingMnemonic("BIwfd", new MatchingMnemonicDetail("Beef It’s what’s for dinner", "National Cattlemen’s Beef Association")));</v>
      </c>
    </row>
    <row r="38" spans="1:5" x14ac:dyDescent="0.25">
      <c r="A38" s="2" t="s">
        <v>297</v>
      </c>
      <c r="B38" s="2" t="str">
        <f>SUBSTITUTE(SUBSTITUTE(SUBSTITUTE(SUBSTITUTE(SUBSTITUTE(SUBSTITUTE(A38,"""",""), "“", ""),  "”", ""), ".", ""), "–", ""), "‘", "")</f>
        <v>Because I’m worth it</v>
      </c>
      <c r="C38" s="2" t="s">
        <v>298</v>
      </c>
      <c r="D38" s="3" t="str">
        <f>GetFirstLettersOfAcronym(B38)</f>
        <v>BIwi</v>
      </c>
      <c r="E38" s="3" t="str">
        <f xml:space="preserve"> CONCATENATE("map.add(new MatchingMnemonic(", CHAR(34), D38,  CHAR(34), ", ", "new MatchingMnemonicDetail(", CHAR(34), B38, CHAR(34), ", ", CHAR(34), C38, CHAR(34),")));")</f>
        <v>map.add(new MatchingMnemonic("BIwi", new MatchingMnemonicDetail("Because I’m worth it", "L’Oréal")));</v>
      </c>
    </row>
    <row r="39" spans="1:5" x14ac:dyDescent="0.25">
      <c r="A39" t="s">
        <v>849</v>
      </c>
      <c r="B39" s="2" t="str">
        <f>SUBSTITUTE(SUBSTITUTE(SUBSTITUTE(SUBSTITUTE(SUBSTITUTE(SUBSTITUTE(TRIM(A39),"""",""), "“", ""),  "”", ""), ".", ""), "–", ""), "‘", "")</f>
        <v>Between love and madness lies obsession</v>
      </c>
      <c r="C39" t="s">
        <v>84</v>
      </c>
      <c r="D39" s="3" t="str">
        <f>GetFirstLettersOfAcronym(B39)</f>
        <v>Blamlo</v>
      </c>
      <c r="E39" s="3" t="str">
        <f xml:space="preserve"> CONCATENATE("map.add(new MatchingMnemonic(", CHAR(34), D39,  CHAR(34), ", ", "new MatchingMnemonicDetail(", CHAR(34), B39, CHAR(34), ", ", CHAR(34), C39, CHAR(34),")));")</f>
        <v>map.add(new MatchingMnemonic("Blamlo", new MatchingMnemonicDetail("Between love and madness lies obsession", "Calvin Klein")));</v>
      </c>
    </row>
    <row r="40" spans="1:5" x14ac:dyDescent="0.25">
      <c r="A40" s="4" t="s">
        <v>161</v>
      </c>
      <c r="B40" s="2" t="str">
        <f>SUBSTITUTE(SUBSTITUTE(SUBSTITUTE(SUBSTITUTE(SUBSTITUTE(SUBSTITUTE(A40,"""",""), "“", ""),  "”", ""), ".", ""), "–", ""), "‘", "")</f>
        <v>Better living through chemistry</v>
      </c>
      <c r="C40" s="4" t="s">
        <v>160</v>
      </c>
      <c r="D40" s="3" t="str">
        <f>GetFirstLettersOfAcronym(B40)</f>
        <v>Bltc</v>
      </c>
      <c r="E40" s="3" t="str">
        <f xml:space="preserve"> CONCATENATE("map.add(new MatchingMnemonic(", CHAR(34), D40,  CHAR(34), ", ", "new MatchingMnemonicDetail(", CHAR(34), B40, CHAR(34), ", ", CHAR(34), C40, CHAR(34),")));")</f>
        <v>map.add(new MatchingMnemonic("Bltc", new MatchingMnemonicDetail("Better living through chemistry", "DuPont")));</v>
      </c>
    </row>
    <row r="41" spans="1:5" x14ac:dyDescent="0.25">
      <c r="A41" t="s">
        <v>809</v>
      </c>
      <c r="B41" s="2" t="str">
        <f>SUBSTITUTE(SUBSTITUTE(SUBSTITUTE(SUBSTITUTE(SUBSTITUTE(SUBSTITUTE(TRIM(A41),"""",""), "“", ""),  "”", ""), ".", ""), "–", ""), "‘", "")</f>
        <v>Beanz means Heinz</v>
      </c>
      <c r="C41" t="s">
        <v>793</v>
      </c>
      <c r="D41" s="3" t="str">
        <f>GetFirstLettersOfAcronym(B41)</f>
        <v>BmH</v>
      </c>
      <c r="E41" s="3" t="str">
        <f xml:space="preserve"> CONCATENATE("map.add(new MatchingMnemonic(", CHAR(34), D41,  CHAR(34), ", ", "new MatchingMnemonicDetail(", CHAR(34), B41, CHAR(34), ", ", CHAR(34), C41, CHAR(34),")));")</f>
        <v>map.add(new MatchingMnemonic("BmH", new MatchingMnemonicDetail("Beanz means Heinz", "Heinz")));</v>
      </c>
    </row>
    <row r="42" spans="1:5" x14ac:dyDescent="0.25">
      <c r="A42" t="s">
        <v>843</v>
      </c>
      <c r="B42" s="2" t="str">
        <f>SUBSTITUTE(SUBSTITUTE(SUBSTITUTE(SUBSTITUTE(SUBSTITUTE(SUBSTITUTE(TRIM(A42),"""",""), "“", ""),  "”", ""), ".", ""), "–", ""), "‘", "")</f>
        <v>Breakfast of champions</v>
      </c>
      <c r="C42" t="s">
        <v>577</v>
      </c>
      <c r="D42" s="3" t="str">
        <f>GetFirstLettersOfAcronym(B42)</f>
        <v>Boc</v>
      </c>
      <c r="E42" s="3" t="str">
        <f xml:space="preserve"> CONCATENATE("map.add(new MatchingMnemonic(", CHAR(34), D42,  CHAR(34), ", ", "new MatchingMnemonicDetail(", CHAR(34), B42, CHAR(34), ", ", CHAR(34), C42, CHAR(34),")));")</f>
        <v>map.add(new MatchingMnemonic("Boc", new MatchingMnemonicDetail("Breakfast of champions", "Wheaties")));</v>
      </c>
    </row>
    <row r="43" spans="1:5" x14ac:dyDescent="0.25">
      <c r="A43" s="2" t="s">
        <v>362</v>
      </c>
      <c r="B43" s="2" t="str">
        <f>SUBSTITUTE(SUBSTITUTE(SUBSTITUTE(SUBSTITUTE(SUBSTITUTE(SUBSTITUTE(A43,"""",""), "“", ""),  "”", ""), ".", ""), "–", ""), "‘", "")</f>
        <v>Break out of the ordinary</v>
      </c>
      <c r="C43" s="2" t="s">
        <v>363</v>
      </c>
      <c r="D43" s="3" t="str">
        <f>GetFirstLettersOfAcronym(B43)</f>
        <v>Booto</v>
      </c>
      <c r="E43" s="3" t="str">
        <f xml:space="preserve"> CONCATENATE("map.add(new MatchingMnemonic(", CHAR(34), D43,  CHAR(34), ", ", "new MatchingMnemonicDetail(", CHAR(34), B43, CHAR(34), ", ", CHAR(34), C43, CHAR(34),")));")</f>
        <v>map.add(new MatchingMnemonic("Booto", new MatchingMnemonicDetail("Break out of the ordinary", "Nestles Butterfinger")));</v>
      </c>
    </row>
    <row r="44" spans="1:5" ht="28.5" x14ac:dyDescent="0.25">
      <c r="A44" s="2" t="s">
        <v>599</v>
      </c>
      <c r="B44" s="2" t="str">
        <f>SUBSTITUTE(SUBSTITUTE(SUBSTITUTE(SUBSTITUTE(SUBSTITUTE(SUBSTITUTE(A44,"""",""), "“", ""),  "”", ""), ".", ""), "–", ""), "‘", "")</f>
        <v>Bring out the Best Foods and bring out the best</v>
      </c>
      <c r="C44" s="2" t="s">
        <v>600</v>
      </c>
      <c r="D44" s="3" t="str">
        <f>GetFirstLettersOfAcronym(B44)</f>
        <v>BotBFabotb</v>
      </c>
      <c r="E44" s="3" t="str">
        <f xml:space="preserve"> CONCATENATE("map.add(new MatchingMnemonic(", CHAR(34), D44,  CHAR(34), ", ", "new MatchingMnemonicDetail(", CHAR(34), B44, CHAR(34), ", ", CHAR(34), C44, CHAR(34),")));")</f>
        <v>map.add(new MatchingMnemonic("BotBFabotb", new MatchingMnemonicDetail("Bring out the Best Foods and bring out the best", "Best Foods (Hellmann’s Mayonnaise)")));</v>
      </c>
    </row>
    <row r="45" spans="1:5" x14ac:dyDescent="0.25">
      <c r="A45" s="2" t="s">
        <v>494</v>
      </c>
      <c r="B45" s="2" t="str">
        <f>SUBSTITUTE(SUBSTITUTE(SUBSTITUTE(SUBSTITUTE(SUBSTITUTE(SUBSTITUTE(A45,"""",""), "“", ""),  "”", ""), ".", ""), "–", ""), "‘", "")</f>
        <v>Better snacking</v>
      </c>
      <c r="C45" s="2" t="s">
        <v>495</v>
      </c>
      <c r="D45" s="3" t="str">
        <f>GetFirstLettersOfAcronym(B45)</f>
        <v>Bs</v>
      </c>
      <c r="E45" s="3" t="str">
        <f xml:space="preserve"> CONCATENATE("map.add(new MatchingMnemonic(", CHAR(34), D45,  CHAR(34), ", ", "new MatchingMnemonicDetail(", CHAR(34), B45, CHAR(34), ", ", CHAR(34), C45, CHAR(34),")));")</f>
        <v>map.add(new MatchingMnemonic("Bs", new MatchingMnemonicDetail("Better snacking", "Sunkist")));</v>
      </c>
    </row>
    <row r="46" spans="1:5" x14ac:dyDescent="0.25">
      <c r="A46" s="2" t="s">
        <v>328</v>
      </c>
      <c r="B46" s="2" t="str">
        <f>SUBSTITUTE(SUBSTITUTE(SUBSTITUTE(SUBSTITUTE(SUBSTITUTE(SUBSTITUTE(A46,"""",""), "“", ""),  "”", ""), ".", ""), "–", ""), "‘", "")</f>
        <v>Because so much is riding on your tires</v>
      </c>
      <c r="C46" s="2" t="s">
        <v>329</v>
      </c>
      <c r="D46" s="3" t="str">
        <f>GetFirstLettersOfAcronym(B46)</f>
        <v>Bsmiroyt</v>
      </c>
      <c r="E46" s="3" t="str">
        <f xml:space="preserve"> CONCATENATE("map.add(new MatchingMnemonic(", CHAR(34), D46,  CHAR(34), ", ", "new MatchingMnemonicDetail(", CHAR(34), B46, CHAR(34), ", ", CHAR(34), C46, CHAR(34),")));")</f>
        <v>map.add(new MatchingMnemonic("Bsmiroyt", new MatchingMnemonicDetail("Because so much is riding on your tires", "Michelin")));</v>
      </c>
    </row>
    <row r="47" spans="1:5" x14ac:dyDescent="0.25">
      <c r="A47" s="2" t="s">
        <v>59</v>
      </c>
      <c r="B47" s="2" t="str">
        <f>SUBSTITUTE(SUBSTITUTE(SUBSTITUTE(SUBSTITUTE(SUBSTITUTE(SUBSTITUTE(A47,"""",""), "“", ""),  "”", ""), ".", ""), "–", ""), "‘", "")</f>
        <v>Better sound through research</v>
      </c>
      <c r="C47" s="2" t="s">
        <v>60</v>
      </c>
      <c r="D47" s="3" t="str">
        <f>GetFirstLettersOfAcronym(B47)</f>
        <v>Bstr</v>
      </c>
      <c r="E47" s="3" t="str">
        <f xml:space="preserve"> CONCATENATE("map.add(new MatchingMnemonic(", CHAR(34), D47,  CHAR(34), ", ", "new MatchingMnemonicDetail(", CHAR(34), B47, CHAR(34), ", ", CHAR(34), C47, CHAR(34),")));")</f>
        <v>map.add(new MatchingMnemonic("Bstr", new MatchingMnemonicDetail("Better sound through research", "BOSE")));</v>
      </c>
    </row>
    <row r="48" spans="1:5" x14ac:dyDescent="0.25">
      <c r="A48" s="4" t="s">
        <v>76</v>
      </c>
      <c r="B48" s="2" t="str">
        <f>SUBSTITUTE(SUBSTITUTE(SUBSTITUTE(SUBSTITUTE(SUBSTITUTE(SUBSTITUTE(A48,"""",""), "“", ""),  "”", ""), ".", ""), "–", ""), "‘", "")</f>
        <v>Break through</v>
      </c>
      <c r="C48" s="4" t="s">
        <v>77</v>
      </c>
      <c r="D48" s="3" t="str">
        <f>GetFirstLettersOfAcronym(B48)</f>
        <v>Bt</v>
      </c>
      <c r="E48" s="3" t="str">
        <f xml:space="preserve"> CONCATENATE("map.add(new MatchingMnemonic(", CHAR(34), D48,  CHAR(34), ", ", "new MatchingMnemonicDetail(", CHAR(34), B48, CHAR(34), ", ", CHAR(34), C48, CHAR(34),")));")</f>
        <v>map.add(new MatchingMnemonic("Bt", new MatchingMnemonicDetail("Break through", "Cadillac")));</v>
      </c>
    </row>
    <row r="49" spans="1:5" x14ac:dyDescent="0.25">
      <c r="A49" s="4" t="s">
        <v>24</v>
      </c>
      <c r="B49" s="2" t="str">
        <f>SUBSTITUTE(SUBSTITUTE(SUBSTITUTE(SUBSTITUTE(SUBSTITUTE(SUBSTITUTE(A49,"""",""), "“", ""),  "”", ""), ".", ""), "–", ""), "‘", "")</f>
        <v>Behold the power of cheese</v>
      </c>
      <c r="C49" s="4" t="s">
        <v>25</v>
      </c>
      <c r="D49" s="3" t="str">
        <f>GetFirstLettersOfAcronym(B49)</f>
        <v>Btpoc</v>
      </c>
      <c r="E49" s="3" t="str">
        <f xml:space="preserve"> CONCATENATE("map.add(new MatchingMnemonic(", CHAR(34), D49,  CHAR(34), ", ", "new MatchingMnemonicDetail(", CHAR(34), B49, CHAR(34), ", ", CHAR(34), C49, CHAR(34),")));")</f>
        <v>map.add(new MatchingMnemonic("Btpoc", new MatchingMnemonicDetail("Behold the power of cheese", "American Dairy Association")));</v>
      </c>
    </row>
    <row r="50" spans="1:5" x14ac:dyDescent="0.25">
      <c r="A50" s="2" t="s">
        <v>49</v>
      </c>
      <c r="B50" s="2" t="str">
        <f>SUBSTITUTE(SUBSTITUTE(SUBSTITUTE(SUBSTITUTE(SUBSTITUTE(SUBSTITUTE(A50,"""",""), "“", ""),  "”", ""), ".", ""), "–", ""), "‘", "")</f>
        <v>Bayer works wonders</v>
      </c>
      <c r="C50" s="2" t="s">
        <v>50</v>
      </c>
      <c r="D50" s="3" t="str">
        <f>GetFirstLettersOfAcronym(B50)</f>
        <v>Bww</v>
      </c>
      <c r="E50" s="3" t="str">
        <f xml:space="preserve"> CONCATENATE("map.add(new MatchingMnemonic(", CHAR(34), D50,  CHAR(34), ", ", "new MatchingMnemonicDetail(", CHAR(34), B50, CHAR(34), ", ", CHAR(34), C50, CHAR(34),")));")</f>
        <v>map.add(new MatchingMnemonic("Bww", new MatchingMnemonicDetail("Bayer works wonders", "Bayer Aspirin")));</v>
      </c>
    </row>
    <row r="51" spans="1:5" x14ac:dyDescent="0.25">
      <c r="A51" t="s">
        <v>856</v>
      </c>
      <c r="B51" s="2" t="str">
        <f>SUBSTITUTE(SUBSTITUTE(SUBSTITUTE(SUBSTITUTE(SUBSTITUTE(SUBSTITUTE(TRIM(A51),"""",""), "“", ""),  "”", ""), ".", ""), "–", ""), "‘", "")</f>
        <v>Coffee at its best</v>
      </c>
      <c r="C51" t="s">
        <v>921</v>
      </c>
      <c r="D51" s="3" t="str">
        <f>GetFirstLettersOfAcronym(B51)</f>
        <v>Caib</v>
      </c>
      <c r="E51" s="3" t="str">
        <f xml:space="preserve"> CONCATENATE("map.add(new MatchingMnemonic(", CHAR(34), D51,  CHAR(34), ", ", "new MatchingMnemonicDetail(", CHAR(34), B51, CHAR(34), ", ", CHAR(34), C51, CHAR(34),")));")</f>
        <v>map.add(new MatchingMnemonic("Caib", new MatchingMnemonicDetail("Coffee at its best", "Nescafe Neighbour’s envy, owner’s pride")));</v>
      </c>
    </row>
    <row r="52" spans="1:5" x14ac:dyDescent="0.25">
      <c r="A52" s="4" t="s">
        <v>410</v>
      </c>
      <c r="B52" s="2" t="str">
        <f>SUBSTITUTE(SUBSTITUTE(SUBSTITUTE(SUBSTITUTE(SUBSTITUTE(SUBSTITUTE(A52,"""",""), "“", ""),  "”", ""), ".", ""), "–", ""), "‘", "")</f>
        <v>Come alive! You’re in the Pepsi generation</v>
      </c>
      <c r="C52" s="4" t="s">
        <v>411</v>
      </c>
      <c r="D52" s="3" t="str">
        <f>GetFirstLettersOfAcronym(B52)</f>
        <v>CaYitPg</v>
      </c>
      <c r="E52" s="3" t="str">
        <f xml:space="preserve"> CONCATENATE("map.add(new MatchingMnemonic(", CHAR(34), D52,  CHAR(34), ", ", "new MatchingMnemonicDetail(", CHAR(34), B52, CHAR(34), ", ", CHAR(34), C52, CHAR(34),")));")</f>
        <v>map.add(new MatchingMnemonic("CaYitPg", new MatchingMnemonicDetail("Come alive! You’re in the Pepsi generation", "Pepsi")));</v>
      </c>
    </row>
    <row r="53" spans="1:5" x14ac:dyDescent="0.25">
      <c r="A53" s="2" t="s">
        <v>152</v>
      </c>
      <c r="B53" s="2" t="str">
        <f>SUBSTITUTE(SUBSTITUTE(SUBSTITUTE(SUBSTITUTE(SUBSTITUTE(SUBSTITUTE(A53,"""",""), "“", ""),  "”", ""), ".", ""), "–", ""), "‘", "")</f>
        <v>Competition Bad for them Great for you</v>
      </c>
      <c r="C53" s="2" t="s">
        <v>150</v>
      </c>
      <c r="D53" s="3" t="str">
        <f>GetFirstLettersOfAcronym(B53)</f>
        <v>CBftGfy</v>
      </c>
      <c r="E53" s="3" t="str">
        <f xml:space="preserve"> CONCATENATE("map.add(new MatchingMnemonic(", CHAR(34), D53,  CHAR(34), ", ", "new MatchingMnemonicDetail(", CHAR(34), B53, CHAR(34), ", ", CHAR(34), C53, CHAR(34),")));")</f>
        <v>map.add(new MatchingMnemonic("CBftGfy", new MatchingMnemonicDetail("Competition Bad for them Great for you", "DHL")));</v>
      </c>
    </row>
    <row r="54" spans="1:5" x14ac:dyDescent="0.25">
      <c r="A54" s="3" t="s">
        <v>751</v>
      </c>
      <c r="B54" s="2" t="str">
        <f>SUBSTITUTE(SUBSTITUTE(SUBSTITUTE(SUBSTITUTE(SUBSTITUTE(SUBSTITUTE(A54,"""",""), "“", ""),  "”", ""), ".", ""), "–", ""), "‘", "")</f>
        <v>Challenge everything</v>
      </c>
      <c r="C54" s="3" t="s">
        <v>719</v>
      </c>
      <c r="D54" s="3" t="str">
        <f>GetFirstLettersOfAcronym(B54)</f>
        <v>Ce</v>
      </c>
      <c r="E54" s="3" t="str">
        <f xml:space="preserve"> CONCATENATE("map.add(new MatchingMnemonic(", CHAR(34), D54,  CHAR(34), ", ", "new MatchingMnemonicDetail(", CHAR(34), B54, CHAR(34), ", ", CHAR(34), C54, CHAR(34),")));")</f>
        <v>map.add(new MatchingMnemonic("Ce", new MatchingMnemonicDetail("Challenge everything", "EA ")));</v>
      </c>
    </row>
    <row r="55" spans="1:5" x14ac:dyDescent="0.25">
      <c r="A55" s="4" t="s">
        <v>386</v>
      </c>
      <c r="B55" s="2" t="str">
        <f>SUBSTITUTE(SUBSTITUTE(SUBSTITUTE(SUBSTITUTE(SUBSTITUTE(SUBSTITUTE(A55,"""",""), "“", ""),  "”", ""), ".", ""), "–", ""), "‘", "")</f>
        <v>Changes everything</v>
      </c>
      <c r="C55" s="4" t="s">
        <v>387</v>
      </c>
      <c r="D55" s="3" t="str">
        <f>GetFirstLettersOfAcronym(B55)</f>
        <v>Ce</v>
      </c>
      <c r="E55" s="3" t="str">
        <f xml:space="preserve"> CONCATENATE("map.add(new MatchingMnemonic(", CHAR(34), D55,  CHAR(34), ", ", "new MatchingMnemonicDetail(", CHAR(34), B55, CHAR(34), ", ", CHAR(34), C55, CHAR(34),")));")</f>
        <v>map.add(new MatchingMnemonic("Ce", new MatchingMnemonicDetail("Changes everything", "OneTouch")));</v>
      </c>
    </row>
    <row r="56" spans="1:5" x14ac:dyDescent="0.25">
      <c r="A56" s="2" t="s">
        <v>512</v>
      </c>
      <c r="B56" s="2" t="str">
        <f>SUBSTITUTE(SUBSTITUTE(SUBSTITUTE(SUBSTITUTE(SUBSTITUTE(SUBSTITUTE(A56,"""",""), "“", ""),  "”", ""), ".", ""), "–", ""), "‘", "")</f>
        <v>Choose freedom</v>
      </c>
      <c r="C56" s="2" t="s">
        <v>513</v>
      </c>
      <c r="D56" s="3" t="str">
        <f>GetFirstLettersOfAcronym(B56)</f>
        <v>Cf</v>
      </c>
      <c r="E56" s="3" t="str">
        <f xml:space="preserve"> CONCATENATE("map.add(new MatchingMnemonic(", CHAR(34), D56,  CHAR(34), ", ", "new MatchingMnemonicDetail(", CHAR(34), B56, CHAR(34), ", ", CHAR(34), C56, CHAR(34),")));")</f>
        <v>map.add(new MatchingMnemonic("Cf", new MatchingMnemonicDetail("Choose freedom", "Toshiba")));</v>
      </c>
    </row>
    <row r="57" spans="1:5" x14ac:dyDescent="0.25">
      <c r="A57" s="2" t="s">
        <v>666</v>
      </c>
      <c r="B57" s="2" t="str">
        <f>SUBSTITUTE(SUBSTITUTE(SUBSTITUTE(SUBSTITUTE(SUBSTITUTE(SUBSTITUTE(A57,"""",""), "“", ""),  "”", ""), ".", ""), "–", ""), "‘", "")</f>
        <v>Call for Philip Morris</v>
      </c>
      <c r="C57" s="2" t="s">
        <v>420</v>
      </c>
      <c r="D57" s="3" t="str">
        <f>GetFirstLettersOfAcronym(B57)</f>
        <v>CfPM</v>
      </c>
      <c r="E57" s="3" t="str">
        <f xml:space="preserve"> CONCATENATE("map.add(new MatchingMnemonic(", CHAR(34), D57,  CHAR(34), ", ", "new MatchingMnemonicDetail(", CHAR(34), B57, CHAR(34), ", ", CHAR(34), C57, CHAR(34),")));")</f>
        <v>map.add(new MatchingMnemonic("CfPM", new MatchingMnemonicDetail("Call for Philip Morris", "Philip Morris")));</v>
      </c>
    </row>
    <row r="58" spans="1:5" x14ac:dyDescent="0.25">
      <c r="A58" s="2" t="s">
        <v>617</v>
      </c>
      <c r="B58" s="2" t="str">
        <f>SUBSTITUTE(SUBSTITUTE(SUBSTITUTE(SUBSTITUTE(SUBSTITUTE(SUBSTITUTE(A58,"""",""), "“", ""),  "”", ""), ".", ""), "–", ""), "‘", "")</f>
        <v>Coke is it!</v>
      </c>
      <c r="C58" s="2" t="s">
        <v>124</v>
      </c>
      <c r="D58" s="3" t="str">
        <f>GetFirstLettersOfAcronym(B58)</f>
        <v>Cii</v>
      </c>
      <c r="E58" s="3" t="str">
        <f xml:space="preserve"> CONCATENATE("map.add(new MatchingMnemonic(", CHAR(34), D58,  CHAR(34), ", ", "new MatchingMnemonicDetail(", CHAR(34), B58, CHAR(34), ", ", CHAR(34), C58, CHAR(34),")));")</f>
        <v>map.add(new MatchingMnemonic("Cii", new MatchingMnemonicDetail("Coke is it!", "Coca-Cola")));</v>
      </c>
    </row>
    <row r="59" spans="1:5" x14ac:dyDescent="0.25">
      <c r="A59" t="s">
        <v>804</v>
      </c>
      <c r="B59" s="2" t="str">
        <f>SUBSTITUTE(SUBSTITUTE(SUBSTITUTE(SUBSTITUTE(SUBSTITUTE(SUBSTITUTE(TRIM(A59),"""",""), "“", ""),  "”", ""), ".", ""), "–", ""), "‘", "")</f>
        <v>Cats like Felix, like Felix</v>
      </c>
      <c r="C59" t="s">
        <v>763</v>
      </c>
      <c r="D59" s="3" t="str">
        <f>GetFirstLettersOfAcronym(B59)</f>
        <v>ClFlF</v>
      </c>
      <c r="E59" s="3" t="str">
        <f xml:space="preserve"> CONCATENATE("map.add(new MatchingMnemonic(", CHAR(34), D59,  CHAR(34), ", ", "new MatchingMnemonicDetail(", CHAR(34), B59, CHAR(34), ", ", CHAR(34), C59, CHAR(34),")));")</f>
        <v>map.add(new MatchingMnemonic("ClFlF", new MatchingMnemonicDetail("Cats like Felix, like Felix", "Felix")));</v>
      </c>
    </row>
    <row r="60" spans="1:5" x14ac:dyDescent="0.25">
      <c r="A60" s="2" t="s">
        <v>396</v>
      </c>
      <c r="B60" s="2" t="str">
        <f>SUBSTITUTE(SUBSTITUTE(SUBSTITUTE(SUBSTITUTE(SUBSTITUTE(SUBSTITUTE(A60,"""",""), "“", ""),  "”", ""), ".", ""), "–", ""), "‘", "")</f>
        <v>Catch our smile</v>
      </c>
      <c r="C60" s="2" t="s">
        <v>397</v>
      </c>
      <c r="D60" s="3" t="str">
        <f>GetFirstLettersOfAcronym(B60)</f>
        <v>Cos</v>
      </c>
      <c r="E60" s="3" t="str">
        <f xml:space="preserve"> CONCATENATE("map.add(new MatchingMnemonic(", CHAR(34), D60,  CHAR(34), ", ", "new MatchingMnemonicDetail(", CHAR(34), B60, CHAR(34), ", ", CHAR(34), C60, CHAR(34),")));")</f>
        <v>map.add(new MatchingMnemonic("Cos", new MatchingMnemonicDetail("Catch our smile", "Pacific Southwest Airlines")));</v>
      </c>
    </row>
    <row r="61" spans="1:5" x14ac:dyDescent="0.25">
      <c r="A61" s="4" t="s">
        <v>374</v>
      </c>
      <c r="B61" s="2" t="str">
        <f>SUBSTITUTE(SUBSTITUTE(SUBSTITUTE(SUBSTITUTE(SUBSTITUTE(SUBSTITUTE(A61,"""",""), "“", ""),  "”", ""), ".", ""), "–", ""), "‘", "")</f>
        <v>Connecting people</v>
      </c>
      <c r="C61" s="4" t="s">
        <v>375</v>
      </c>
      <c r="D61" s="3" t="str">
        <f>GetFirstLettersOfAcronym(B61)</f>
        <v>Cp</v>
      </c>
      <c r="E61" s="3" t="str">
        <f xml:space="preserve"> CONCATENATE("map.add(new MatchingMnemonic(", CHAR(34), D61,  CHAR(34), ", ", "new MatchingMnemonicDetail(", CHAR(34), B61, CHAR(34), ", ", CHAR(34), C61, CHAR(34),")));")</f>
        <v>map.add(new MatchingMnemonic("Cp", new MatchingMnemonicDetail("Connecting people", "Nokia")));</v>
      </c>
    </row>
    <row r="62" spans="1:5" x14ac:dyDescent="0.25">
      <c r="A62" s="2" t="s">
        <v>123</v>
      </c>
      <c r="B62" s="2" t="str">
        <f>SUBSTITUTE(SUBSTITUTE(SUBSTITUTE(SUBSTITUTE(SUBSTITUTE(SUBSTITUTE(A62,"""",""), "“", ""),  "”", ""), ".", ""), "–", ""), "‘", "")</f>
        <v>Coca-Cola refreshes you best</v>
      </c>
      <c r="C62" s="2" t="s">
        <v>124</v>
      </c>
      <c r="D62" s="3" t="str">
        <f>GetFirstLettersOfAcronym(B62)</f>
        <v>Cryb</v>
      </c>
      <c r="E62" s="3" t="str">
        <f xml:space="preserve"> CONCATENATE("map.add(new MatchingMnemonic(", CHAR(34), D62,  CHAR(34), ", ", "new MatchingMnemonicDetail(", CHAR(34), B62, CHAR(34), ", ", CHAR(34), C62, CHAR(34),")));")</f>
        <v>map.add(new MatchingMnemonic("Cryb", new MatchingMnemonicDetail("Coca-Cola refreshes you best", "Coca-Cola")));</v>
      </c>
    </row>
    <row r="63" spans="1:5" x14ac:dyDescent="0.25">
      <c r="A63" t="s">
        <v>831</v>
      </c>
      <c r="B63" s="2" t="str">
        <f>SUBSTITUTE(SUBSTITUTE(SUBSTITUTE(SUBSTITUTE(SUBSTITUTE(SUBSTITUTE(TRIM(A63),"""",""), "“", ""),  "”", ""), ".", ""), "–", ""), "‘", "")</f>
        <v>Children’s shoes have far to go</v>
      </c>
      <c r="C63" t="s">
        <v>933</v>
      </c>
      <c r="D63" s="3" t="str">
        <f>GetFirstLettersOfAcronym(B63)</f>
        <v>Cshftg</v>
      </c>
      <c r="E63" s="3" t="str">
        <f xml:space="preserve"> CONCATENATE("map.add(new MatchingMnemonic(", CHAR(34), D63,  CHAR(34), ", ", "new MatchingMnemonicDetail(", CHAR(34), B63, CHAR(34), ", ", CHAR(34), C63, CHAR(34),")));")</f>
        <v>map.add(new MatchingMnemonic("Cshftg", new MatchingMnemonicDetail("Children’s shoes have far to go", "Smart")));</v>
      </c>
    </row>
    <row r="64" spans="1:5" x14ac:dyDescent="0.25">
      <c r="A64" t="s">
        <v>869</v>
      </c>
      <c r="B64" s="2" t="str">
        <f>SUBSTITUTE(SUBSTITUTE(SUBSTITUTE(SUBSTITUTE(SUBSTITUTE(SUBSTITUTE(TRIM(A64),"""",""), "“", ""),  "”", ""), ".", ""), "–", ""), "‘", "")</f>
        <v>Capitalist tool</v>
      </c>
      <c r="C64" t="s">
        <v>784</v>
      </c>
      <c r="D64" s="3" t="str">
        <f>GetFirstLettersOfAcronym(B64)</f>
        <v>Ct</v>
      </c>
      <c r="E64" s="3" t="str">
        <f xml:space="preserve"> CONCATENATE("map.add(new MatchingMnemonic(", CHAR(34), D64,  CHAR(34), ", ", "new MatchingMnemonicDetail(", CHAR(34), B64, CHAR(34), ", ", CHAR(34), C64, CHAR(34),")));")</f>
        <v>map.add(new MatchingMnemonic("Ct", new MatchingMnemonicDetail("Capitalist tool", "Forbes")));</v>
      </c>
    </row>
    <row r="65" spans="1:5" x14ac:dyDescent="0.25">
      <c r="A65" s="2" t="s">
        <v>470</v>
      </c>
      <c r="B65" s="2" t="str">
        <f>SUBSTITUTE(SUBSTITUTE(SUBSTITUTE(SUBSTITUTE(SUBSTITUTE(SUBSTITUTE(A65,"""",""), "“", ""),  "”", ""), ".", ""), "–", ""), "‘", "")</f>
        <v>Cover the earth</v>
      </c>
      <c r="C65" s="2" t="s">
        <v>471</v>
      </c>
      <c r="D65" s="3" t="str">
        <f>GetFirstLettersOfAcronym(B65)</f>
        <v>Cte</v>
      </c>
      <c r="E65" s="3" t="str">
        <f xml:space="preserve"> CONCATENATE("map.add(new MatchingMnemonic(", CHAR(34), D65,  CHAR(34), ", ", "new MatchingMnemonicDetail(", CHAR(34), B65, CHAR(34), ", ", CHAR(34), C65, CHAR(34),")));")</f>
        <v>map.add(new MatchingMnemonic("Cte", new MatchingMnemonicDetail("Cover the earth", "Sherwin Williams")));</v>
      </c>
    </row>
    <row r="66" spans="1:5" x14ac:dyDescent="0.25">
      <c r="A66" s="2" t="s">
        <v>129</v>
      </c>
      <c r="B66" s="2" t="str">
        <f>SUBSTITUTE(SUBSTITUTE(SUBSTITUTE(SUBSTITUTE(SUBSTITUTE(SUBSTITUTE(A66,"""",""), "“", ""),  "”", ""), ".", ""), "–", ""), "‘", "")</f>
        <v>Cotton The fabric of our lives</v>
      </c>
      <c r="C66" s="2" t="s">
        <v>130</v>
      </c>
      <c r="D66" s="3" t="str">
        <f>GetFirstLettersOfAcronym(B66)</f>
        <v>CTfool</v>
      </c>
      <c r="E66" s="3" t="str">
        <f xml:space="preserve"> CONCATENATE("map.add(new MatchingMnemonic(", CHAR(34), D66,  CHAR(34), ", ", "new MatchingMnemonicDetail(", CHAR(34), B66, CHAR(34), ", ", CHAR(34), C66, CHAR(34),")));")</f>
        <v>map.add(new MatchingMnemonic("CTfool", new MatchingMnemonicDetail("Cotton The fabric of our lives", "Cotton Incorporated")));</v>
      </c>
    </row>
    <row r="67" spans="1:5" x14ac:dyDescent="0.25">
      <c r="A67" s="2" t="s">
        <v>82</v>
      </c>
      <c r="B67" s="2" t="str">
        <f>SUBSTITUTE(SUBSTITUTE(SUBSTITUTE(SUBSTITUTE(SUBSTITUTE(SUBSTITUTE(A67,"""",""), "“", ""),  "”", ""), ".", ""), "–", ""), "‘", "")</f>
        <v>Calgon, take me away</v>
      </c>
      <c r="C67" s="2" t="s">
        <v>83</v>
      </c>
      <c r="D67" s="3" t="str">
        <f>GetFirstLettersOfAcronym(B67)</f>
        <v>Ctma</v>
      </c>
      <c r="E67" s="3" t="str">
        <f xml:space="preserve"> CONCATENATE("map.add(new MatchingMnemonic(", CHAR(34), D67,  CHAR(34), ", ", "new MatchingMnemonicDetail(", CHAR(34), B67, CHAR(34), ", ", CHAR(34), C67, CHAR(34),")));")</f>
        <v>map.add(new MatchingMnemonic("Ctma", new MatchingMnemonicDetail("Calgon, take me away", "Calgon Toiletries")));</v>
      </c>
    </row>
    <row r="68" spans="1:5" x14ac:dyDescent="0.25">
      <c r="A68" s="4" t="s">
        <v>307</v>
      </c>
      <c r="B68" s="2" t="str">
        <f>SUBSTITUTE(SUBSTITUTE(SUBSTITUTE(SUBSTITUTE(SUBSTITUTE(SUBSTITUTE(A68,"""",""), "“", ""),  "”", ""), ".", ""), "–", ""), "‘", "")</f>
        <v>Come to Marlboro Country</v>
      </c>
      <c r="C68" s="4" t="s">
        <v>308</v>
      </c>
      <c r="D68" s="3" t="str">
        <f>GetFirstLettersOfAcronym(B68)</f>
        <v>CtMC</v>
      </c>
      <c r="E68" s="3" t="str">
        <f xml:space="preserve"> CONCATENATE("map.add(new MatchingMnemonic(", CHAR(34), D68,  CHAR(34), ", ", "new MatchingMnemonicDetail(", CHAR(34), B68, CHAR(34), ", ", CHAR(34), C68, CHAR(34),")));")</f>
        <v>map.add(new MatchingMnemonic("CtMC", new MatchingMnemonicDetail("Come to Marlboro Country", "Marlboro")));</v>
      </c>
    </row>
    <row r="69" spans="1:5" x14ac:dyDescent="0.25">
      <c r="A69" s="2" t="s">
        <v>204</v>
      </c>
      <c r="B69" s="2" t="str">
        <f>SUBSTITUTE(SUBSTITUTE(SUBSTITUTE(SUBSTITUTE(SUBSTITUTE(SUBSTITUTE(A69,"""",""), "“", ""),  "”", ""), ".", ""), "–", ""), "‘", "")</f>
        <v>Celebrate the moments of your life</v>
      </c>
      <c r="C69" s="2" t="s">
        <v>205</v>
      </c>
      <c r="D69" s="3" t="str">
        <f>GetFirstLettersOfAcronym(B69)</f>
        <v>Ctmoyl</v>
      </c>
      <c r="E69" s="3" t="str">
        <f xml:space="preserve"> CONCATENATE("map.add(new MatchingMnemonic(", CHAR(34), D69,  CHAR(34), ", ", "new MatchingMnemonicDetail(", CHAR(34), B69, CHAR(34), ", ", CHAR(34), C69, CHAR(34),")));")</f>
        <v>map.add(new MatchingMnemonic("Ctmoyl", new MatchingMnemonicDetail("Celebrate the moments of your life", "General Foods")));</v>
      </c>
    </row>
    <row r="70" spans="1:5" x14ac:dyDescent="0.25">
      <c r="A70" s="4" t="s">
        <v>303</v>
      </c>
      <c r="B70" s="2" t="str">
        <f>SUBSTITUTE(SUBSTITUTE(SUBSTITUTE(SUBSTITUTE(SUBSTITUTE(SUBSTITUTE(A70,"""",""), "“", ""),  "”", ""), ".", ""), "–", ""), "‘", "")</f>
        <v>Creating value through true convergence</v>
      </c>
      <c r="C70" s="4" t="s">
        <v>304</v>
      </c>
      <c r="D70" s="3" t="str">
        <f>GetFirstLettersOfAcronym(B70)</f>
        <v>Cvttc</v>
      </c>
      <c r="E70" s="3" t="str">
        <f xml:space="preserve"> CONCATENATE("map.add(new MatchingMnemonic(", CHAR(34), D70,  CHAR(34), ", ", "new MatchingMnemonicDetail(", CHAR(34), B70, CHAR(34), ", ", CHAR(34), C70, CHAR(34),")));")</f>
        <v>map.add(new MatchingMnemonic("Cvttc", new MatchingMnemonicDetail("Creating value through true convergence", "Lucent Technologies")));</v>
      </c>
    </row>
    <row r="71" spans="1:5" x14ac:dyDescent="0.25">
      <c r="A71" s="2" t="s">
        <v>136</v>
      </c>
      <c r="B71" s="2" t="str">
        <f>SUBSTITUTE(SUBSTITUTE(SUBSTITUTE(SUBSTITUTE(SUBSTITUTE(SUBSTITUTE(A71,"""",""), "“", ""),  "”", ""), ".", ""), "–", ""), "‘", "")</f>
        <v>Cooks who know trust Crisco</v>
      </c>
      <c r="C71" s="2" t="s">
        <v>137</v>
      </c>
      <c r="D71" s="3" t="str">
        <f>GetFirstLettersOfAcronym(B71)</f>
        <v>CwktC</v>
      </c>
      <c r="E71" s="3" t="str">
        <f xml:space="preserve"> CONCATENATE("map.add(new MatchingMnemonic(", CHAR(34), D71,  CHAR(34), ", ", "new MatchingMnemonicDetail(", CHAR(34), B71, CHAR(34), ", ", CHAR(34), C71, CHAR(34),")));")</f>
        <v>map.add(new MatchingMnemonic("CwktC", new MatchingMnemonicDetail("Cooks who know trust Crisco", "Crisco Vegetable Shortening")));</v>
      </c>
    </row>
    <row r="72" spans="1:5" x14ac:dyDescent="0.25">
      <c r="A72" s="4" t="s">
        <v>552</v>
      </c>
      <c r="B72" s="2" t="str">
        <f>SUBSTITUTE(SUBSTITUTE(SUBSTITUTE(SUBSTITUTE(SUBSTITUTE(SUBSTITUTE(A72,"""",""), "“", ""),  "”", ""), ".", ""), "–", ""), "‘", "")</f>
        <v>Can you hear me now?Good!</v>
      </c>
      <c r="C72" s="4" t="s">
        <v>551</v>
      </c>
      <c r="D72" s="3" t="str">
        <f>GetFirstLettersOfAcronym(B72)</f>
        <v>Cyhmn</v>
      </c>
      <c r="E72" s="3" t="str">
        <f xml:space="preserve"> CONCATENATE("map.add(new MatchingMnemonic(", CHAR(34), D72,  CHAR(34), ", ", "new MatchingMnemonicDetail(", CHAR(34), B72, CHAR(34), ", ", CHAR(34), C72, CHAR(34),")));")</f>
        <v>map.add(new MatchingMnemonic("Cyhmn", new MatchingMnemonicDetail("Can you hear me now?Good!", "Verizon Wireless")));</v>
      </c>
    </row>
    <row r="73" spans="1:5" x14ac:dyDescent="0.25">
      <c r="A73" t="s">
        <v>892</v>
      </c>
      <c r="B73" s="2" t="str">
        <f>SUBSTITUTE(SUBSTITUTE(SUBSTITUTE(SUBSTITUTE(SUBSTITUTE(SUBSTITUTE(TRIM(A73),"""",""), "“", ""),  "”", ""), ".", ""), "–", ""), "‘", "")</f>
        <v>Dream Bigger</v>
      </c>
      <c r="C73" t="s">
        <v>950</v>
      </c>
      <c r="D73" s="3" t="str">
        <f>GetFirstLettersOfAcronym(B73)</f>
        <v>DB</v>
      </c>
      <c r="E73" s="3" t="str">
        <f xml:space="preserve"> CONCATENATE("map.add(new MatchingMnemonic(", CHAR(34), D73,  CHAR(34), ", ", "new MatchingMnemonicDetail(", CHAR(34), B73, CHAR(34), ", ", CHAR(34), C73, CHAR(34),")));")</f>
        <v>map.add(new MatchingMnemonic("DB", new MatchingMnemonicDetail("Dream Bigger", "Superdream")));</v>
      </c>
    </row>
    <row r="74" spans="1:5" x14ac:dyDescent="0.25">
      <c r="A74" t="s">
        <v>891</v>
      </c>
      <c r="B74" s="2" t="str">
        <f>SUBSTITUTE(SUBSTITUTE(SUBSTITUTE(SUBSTITUTE(SUBSTITUTE(SUBSTITUTE(TRIM(A74),"""",""), "“", ""),  "”", ""), ".", ""), "–", ""), "‘", "")</f>
        <v>Don’t be Evil</v>
      </c>
      <c r="C74" t="s">
        <v>943</v>
      </c>
      <c r="D74" s="3" t="str">
        <f>GetFirstLettersOfAcronym(B74)</f>
        <v>DbE</v>
      </c>
      <c r="E74" s="3" t="str">
        <f xml:space="preserve"> CONCATENATE("map.add(new MatchingMnemonic(", CHAR(34), D74,  CHAR(34), ", ", "new MatchingMnemonicDetail(", CHAR(34), B74, CHAR(34), ", ", CHAR(34), C74, CHAR(34),")));")</f>
        <v>map.add(new MatchingMnemonic("DbE", new MatchingMnemonicDetail("Don’t be Evil", "Google")));</v>
      </c>
    </row>
    <row r="75" spans="1:5" x14ac:dyDescent="0.25">
      <c r="A75" s="4" t="s">
        <v>228</v>
      </c>
      <c r="B75" s="2" t="str">
        <f>SUBSTITUTE(SUBSTITUTE(SUBSTITUTE(SUBSTITUTE(SUBSTITUTE(SUBSTITUTE(A75,"""",""), "“", ""),  "”", ""), ".", ""), "–", ""), "‘", "")</f>
        <v>Don’t be vague, ask for Haig</v>
      </c>
      <c r="C75" s="4" t="s">
        <v>229</v>
      </c>
      <c r="D75" s="3" t="str">
        <f>GetFirstLettersOfAcronym(B75)</f>
        <v>DbvafH</v>
      </c>
      <c r="E75" s="3" t="str">
        <f xml:space="preserve"> CONCATENATE("map.add(new MatchingMnemonic(", CHAR(34), D75,  CHAR(34), ", ", "new MatchingMnemonicDetail(", CHAR(34), B75, CHAR(34), ", ", CHAR(34), C75, CHAR(34),")));")</f>
        <v>map.add(new MatchingMnemonic("DbvafH", new MatchingMnemonicDetail("Don’t be vague, ask for Haig", "Haig Scotch Whiskey")));</v>
      </c>
    </row>
    <row r="76" spans="1:5" x14ac:dyDescent="0.25">
      <c r="A76" s="4" t="s">
        <v>263</v>
      </c>
      <c r="B76" s="2" t="str">
        <f>SUBSTITUTE(SUBSTITUTE(SUBSTITUTE(SUBSTITUTE(SUBSTITUTE(SUBSTITUTE(A76,"""",""), "“", ""),  "”", ""), ".", ""), "–", ""), "‘", "")</f>
        <v>Don’t dream it Drive it</v>
      </c>
      <c r="C76" s="4" t="s">
        <v>264</v>
      </c>
      <c r="D76" s="3" t="str">
        <f>GetFirstLettersOfAcronym(B76)</f>
        <v>DdiDi</v>
      </c>
      <c r="E76" s="3" t="str">
        <f xml:space="preserve"> CONCATENATE("map.add(new MatchingMnemonic(", CHAR(34), D76,  CHAR(34), ", ", "new MatchingMnemonicDetail(", CHAR(34), B76, CHAR(34), ", ", CHAR(34), C76, CHAR(34),")));")</f>
        <v>map.add(new MatchingMnemonic("DdiDi", new MatchingMnemonicDetail("Don’t dream it Drive it", "Jaguar")));</v>
      </c>
    </row>
    <row r="77" spans="1:5" x14ac:dyDescent="0.25">
      <c r="A77" s="2" t="s">
        <v>218</v>
      </c>
      <c r="B77" s="2" t="str">
        <f>SUBSTITUTE(SUBSTITUTE(SUBSTITUTE(SUBSTITUTE(SUBSTITUTE(SUBSTITUTE(A77,"""",""), "“", ""),  "”", ""), ".", ""), "–", ""), "‘", "")</f>
        <v>Don’t get mad Get GLAD</v>
      </c>
      <c r="C77" s="2" t="s">
        <v>219</v>
      </c>
      <c r="D77" s="3" t="str">
        <f>GetFirstLettersOfAcronym(B77)</f>
        <v>DgmGG</v>
      </c>
      <c r="E77" s="3" t="str">
        <f xml:space="preserve"> CONCATENATE("map.add(new MatchingMnemonic(", CHAR(34), D77,  CHAR(34), ", ", "new MatchingMnemonicDetail(", CHAR(34), B77, CHAR(34), ", ", CHAR(34), C77, CHAR(34),")));")</f>
        <v>map.add(new MatchingMnemonic("DgmGG", new MatchingMnemonicDetail("Don’t get mad Get GLAD", "GLAD")));</v>
      </c>
    </row>
    <row r="78" spans="1:5" x14ac:dyDescent="0.25">
      <c r="A78" t="s">
        <v>838</v>
      </c>
      <c r="B78" s="2" t="str">
        <f>SUBSTITUTE(SUBSTITUTE(SUBSTITUTE(SUBSTITUTE(SUBSTITUTE(SUBSTITUTE(TRIM(A78),"""",""), "“", ""),  "”", ""), ".", ""), "–", ""), "‘", "")</f>
        <v>Don’t just book it Thomas Cook it</v>
      </c>
      <c r="C78" t="s">
        <v>779</v>
      </c>
      <c r="D78" s="3" t="str">
        <f>GetFirstLettersOfAcronym(B78)</f>
        <v>DjbiTCi</v>
      </c>
      <c r="E78" s="3" t="str">
        <f xml:space="preserve"> CONCATENATE("map.add(new MatchingMnemonic(", CHAR(34), D78,  CHAR(34), ", ", "new MatchingMnemonicDetail(", CHAR(34), B78, CHAR(34), ", ", CHAR(34), C78, CHAR(34),")));")</f>
        <v>map.add(new MatchingMnemonic("DjbiTCi", new MatchingMnemonicDetail("Don’t just book it Thomas Cook it", "Thomas Cook")));</v>
      </c>
    </row>
    <row r="79" spans="1:5" x14ac:dyDescent="0.25">
      <c r="A79" s="4" t="s">
        <v>175</v>
      </c>
      <c r="B79" s="2" t="str">
        <f>SUBSTITUTE(SUBSTITUTE(SUBSTITUTE(SUBSTITUTE(SUBSTITUTE(SUBSTITUTE(A79,"""",""), "“", ""),  "”", ""), ".", ""), "–", ""), "‘", "")</f>
        <v>Don’t just travel Travel right</v>
      </c>
      <c r="C79" s="4" t="s">
        <v>176</v>
      </c>
      <c r="D79" s="3" t="str">
        <f>GetFirstLettersOfAcronym(B79)</f>
        <v>DjtTr</v>
      </c>
      <c r="E79" s="3" t="str">
        <f xml:space="preserve"> CONCATENATE("map.add(new MatchingMnemonic(", CHAR(34), D79,  CHAR(34), ", ", "new MatchingMnemonicDetail(", CHAR(34), B79, CHAR(34), ", ", CHAR(34), C79, CHAR(34),")));")</f>
        <v>map.add(new MatchingMnemonic("DjtTr", new MatchingMnemonicDetail("Don’t just travel Travel right", "Expedia.com")));</v>
      </c>
    </row>
    <row r="80" spans="1:5" x14ac:dyDescent="0.25">
      <c r="A80" s="2" t="s">
        <v>26</v>
      </c>
      <c r="B80" s="2" t="str">
        <f>SUBSTITUTE(SUBSTITUTE(SUBSTITUTE(SUBSTITUTE(SUBSTITUTE(SUBSTITUTE(A80,"""",""), "“", ""),  "”", ""), ".", ""), "–", ""), "‘", "")</f>
        <v>Don’t leave home without it</v>
      </c>
      <c r="C80" s="2" t="s">
        <v>27</v>
      </c>
      <c r="D80" s="3" t="str">
        <f>GetFirstLettersOfAcronym(B80)</f>
        <v>Dlhwi</v>
      </c>
      <c r="E80" s="3" t="str">
        <f xml:space="preserve"> CONCATENATE("map.add(new MatchingMnemonic(", CHAR(34), D80,  CHAR(34), ", ", "new MatchingMnemonicDetail(", CHAR(34), B80, CHAR(34), ", ", CHAR(34), C80, CHAR(34),")));")</f>
        <v>map.add(new MatchingMnemonic("Dlhwi", new MatchingMnemonicDetail("Don’t leave home without it", "American Express")));</v>
      </c>
    </row>
    <row r="81" spans="1:5" x14ac:dyDescent="0.25">
      <c r="A81" s="4" t="s">
        <v>28</v>
      </c>
      <c r="B81" s="2" t="str">
        <f>SUBSTITUTE(SUBSTITUTE(SUBSTITUTE(SUBSTITUTE(SUBSTITUTE(SUBSTITUTE(A81,"""",""), "“", ""),  "”", ""), ".", ""), "–", ""), "‘", "")</f>
        <v>Do more</v>
      </c>
      <c r="C81" s="4" t="s">
        <v>27</v>
      </c>
      <c r="D81" s="3" t="str">
        <f>GetFirstLettersOfAcronym(B81)</f>
        <v>Dm</v>
      </c>
      <c r="E81" s="3" t="str">
        <f xml:space="preserve"> CONCATENATE("map.add(new MatchingMnemonic(", CHAR(34), D81,  CHAR(34), ", ", "new MatchingMnemonicDetail(", CHAR(34), B81, CHAR(34), ", ", CHAR(34), C81, CHAR(34),")));")</f>
        <v>map.add(new MatchingMnemonic("Dm", new MatchingMnemonicDetail("Do more", "American Express")));</v>
      </c>
    </row>
    <row r="82" spans="1:5" x14ac:dyDescent="0.25">
      <c r="A82" s="2" t="s">
        <v>117</v>
      </c>
      <c r="B82" s="2" t="str">
        <f>SUBSTITUTE(SUBSTITUTE(SUBSTITUTE(SUBSTITUTE(SUBSTITUTE(SUBSTITUTE(A82,"""",""), "“", ""),  "”", ""), ".", ""), "–", ""), "‘", "")</f>
        <v>Does she or doesn’t she?</v>
      </c>
      <c r="C82" s="2" t="s">
        <v>116</v>
      </c>
      <c r="D82" s="3" t="str">
        <f>GetFirstLettersOfAcronym(B82)</f>
        <v>Dsods</v>
      </c>
      <c r="E82" s="3" t="str">
        <f xml:space="preserve"> CONCATENATE("map.add(new MatchingMnemonic(", CHAR(34), D82,  CHAR(34), ", ", "new MatchingMnemonicDetail(", CHAR(34), B82, CHAR(34), ", ", CHAR(34), C82, CHAR(34),")));")</f>
        <v>map.add(new MatchingMnemonic("Dsods", new MatchingMnemonicDetail("Does she or doesn’t she?", "Clairol")));</v>
      </c>
    </row>
    <row r="83" spans="1:5" x14ac:dyDescent="0.25">
      <c r="A83" s="4" t="s">
        <v>319</v>
      </c>
      <c r="B83" s="2" t="str">
        <f>SUBSTITUTE(SUBSTITUTE(SUBSTITUTE(SUBSTITUTE(SUBSTITUTE(SUBSTITUTE(A83,"""",""), "“", ""),  "”", ""), ".", ""), "–", ""), "‘", "")</f>
        <v>Did somebody say McDonald’s?</v>
      </c>
      <c r="C83" s="4" t="s">
        <v>320</v>
      </c>
      <c r="D83" s="3" t="str">
        <f>GetFirstLettersOfAcronym(B83)</f>
        <v>DssM</v>
      </c>
      <c r="E83" s="3" t="str">
        <f xml:space="preserve"> CONCATENATE("map.add(new MatchingMnemonic(", CHAR(34), D83,  CHAR(34), ", ", "new MatchingMnemonicDetail(", CHAR(34), B83, CHAR(34), ", ", CHAR(34), C83, CHAR(34),")));")</f>
        <v>map.add(new MatchingMnemonic("DssM", new MatchingMnemonicDetail("Did somebody say McDonald’s?", "McDonald’s")));</v>
      </c>
    </row>
    <row r="84" spans="1:5" x14ac:dyDescent="0.25">
      <c r="A84" s="2" t="s">
        <v>350</v>
      </c>
      <c r="B84" s="2" t="str">
        <f>SUBSTITUTE(SUBSTITUTE(SUBSTITUTE(SUBSTITUTE(SUBSTITUTE(SUBSTITUTE(A84,"""",""), "“", ""),  "”", ""), ".", ""), "–", ""), "‘", "")</f>
        <v>Do the Dew</v>
      </c>
      <c r="C84" s="2" t="s">
        <v>351</v>
      </c>
      <c r="D84" s="3" t="str">
        <f>GetFirstLettersOfAcronym(B84)</f>
        <v>DtD</v>
      </c>
      <c r="E84" s="3" t="str">
        <f xml:space="preserve"> CONCATENATE("map.add(new MatchingMnemonic(", CHAR(34), D84,  CHAR(34), ", ", "new MatchingMnemonicDetail(", CHAR(34), B84, CHAR(34), ", ", CHAR(34), C84, CHAR(34),")));")</f>
        <v>map.add(new MatchingMnemonic("DtD", new MatchingMnemonicDetail("Do the Dew", "Mountain Dew")));</v>
      </c>
    </row>
    <row r="85" spans="1:5" x14ac:dyDescent="0.25">
      <c r="A85" s="2" t="s">
        <v>564</v>
      </c>
      <c r="B85" s="2" t="str">
        <f>SUBSTITUTE(SUBSTITUTE(SUBSTITUTE(SUBSTITUTE(SUBSTITUTE(SUBSTITUTE(A85,"""",""), "“", ""),  "”", ""), ".", ""), "–", ""), "‘", "")</f>
        <v>Drivers wanted</v>
      </c>
      <c r="C85" s="2" t="s">
        <v>563</v>
      </c>
      <c r="D85" s="3" t="str">
        <f>GetFirstLettersOfAcronym(B85)</f>
        <v>Dw</v>
      </c>
      <c r="E85" s="3" t="str">
        <f xml:space="preserve"> CONCATENATE("map.add(new MatchingMnemonic(", CHAR(34), D85,  CHAR(34), ", ", "new MatchingMnemonicDetail(", CHAR(34), B85, CHAR(34), ", ", CHAR(34), C85, CHAR(34),")));")</f>
        <v>map.add(new MatchingMnemonic("Dw", new MatchingMnemonicDetail("Drivers wanted", "Volkswagen")));</v>
      </c>
    </row>
    <row r="86" spans="1:5" x14ac:dyDescent="0.25">
      <c r="A86" s="2" t="s">
        <v>18</v>
      </c>
      <c r="B86" s="2" t="str">
        <f>SUBSTITUTE(SUBSTITUTE(SUBSTITUTE(SUBSTITUTE(SUBSTITUTE(SUBSTITUTE(A86,"""",""), "“", ""),  "”", ""), ".", ""), "–", ""), "‘", "")</f>
        <v>Doesn’t your dog deserve Alpo?</v>
      </c>
      <c r="C86" s="2" t="s">
        <v>19</v>
      </c>
      <c r="D86" s="3" t="str">
        <f>GetFirstLettersOfAcronym(B86)</f>
        <v>DyddA</v>
      </c>
      <c r="E86" s="3" t="str">
        <f xml:space="preserve"> CONCATENATE("map.add(new MatchingMnemonic(", CHAR(34), D86,  CHAR(34), ", ", "new MatchingMnemonicDetail(", CHAR(34), B86, CHAR(34), ", ", CHAR(34), C86, CHAR(34),")));")</f>
        <v>map.add(new MatchingMnemonic("DyddA", new MatchingMnemonicDetail("Doesn’t your dog deserve Alpo?", "Alpo Dog Food")));</v>
      </c>
    </row>
    <row r="87" spans="1:5" x14ac:dyDescent="0.25">
      <c r="A87" t="s">
        <v>818</v>
      </c>
      <c r="B87" s="2" t="str">
        <f>SUBSTITUTE(SUBSTITUTE(SUBSTITUTE(SUBSTITUTE(SUBSTITUTE(SUBSTITUTE(TRIM(A87),"""",""), "“", ""),  "”", ""), ".", ""), "–", ""), "‘", "")</f>
        <v>Did you Maclean you teeth today</v>
      </c>
      <c r="C87" t="s">
        <v>916</v>
      </c>
      <c r="D87" s="3" t="str">
        <f>GetFirstLettersOfAcronym(B87)</f>
        <v>DyMytt</v>
      </c>
      <c r="E87" s="3" t="str">
        <f xml:space="preserve"> CONCATENATE("map.add(new MatchingMnemonic(", CHAR(34), D87,  CHAR(34), ", ", "new MatchingMnemonicDetail(", CHAR(34), B87, CHAR(34), ", ", CHAR(34), C87, CHAR(34),")));")</f>
        <v>map.add(new MatchingMnemonic("DyMytt", new MatchingMnemonicDetail("Did you Maclean you teeth today", "Macleans")));</v>
      </c>
    </row>
    <row r="88" spans="1:5" x14ac:dyDescent="0.25">
      <c r="A88" s="2" t="s">
        <v>698</v>
      </c>
      <c r="B88" s="2" t="str">
        <f>SUBSTITUTE(SUBSTITUTE(SUBSTITUTE(SUBSTITUTE(SUBSTITUTE(SUBSTITUTE(A88,"""",""), "“", ""),  "”", ""), ".", ""), "–", ""), "‘", "")</f>
        <v>Double your pleasure, double your fun</v>
      </c>
      <c r="C88" s="2" t="s">
        <v>699</v>
      </c>
      <c r="D88" s="3" t="str">
        <f>GetFirstLettersOfAcronym(B88)</f>
        <v>Dypdyf</v>
      </c>
      <c r="E88" s="3" t="str">
        <f xml:space="preserve"> CONCATENATE("map.add(new MatchingMnemonic(", CHAR(34), D88,  CHAR(34), ", ", "new MatchingMnemonicDetail(", CHAR(34), B88, CHAR(34), ", ", CHAR(34), C88, CHAR(34),")));")</f>
        <v>map.add(new MatchingMnemonic("Dypdyf", new MatchingMnemonicDetail("Double your pleasure, double your fun", "Wrigley’s Doublemint Gum")));</v>
      </c>
    </row>
    <row r="89" spans="1:5" x14ac:dyDescent="0.25">
      <c r="A89" s="3" t="s">
        <v>741</v>
      </c>
      <c r="B89" s="2" t="str">
        <f>SUBSTITUTE(SUBSTITUTE(SUBSTITUTE(SUBSTITUTE(SUBSTITUTE(SUBSTITUTE(A89,"""",""), "“", ""),  "”", ""), ".", ""), "–", ""), "‘", "")</f>
        <v xml:space="preserve"> Enjoy</v>
      </c>
      <c r="C89" s="2" t="s">
        <v>124</v>
      </c>
      <c r="D89" s="3" t="str">
        <f>GetFirstLettersOfAcronym(B89)</f>
        <v>E</v>
      </c>
      <c r="E89" s="3" t="str">
        <f xml:space="preserve"> CONCATENATE("map.add(new MatchingMnemonic(", CHAR(34), D89,  CHAR(34), ", ", "new MatchingMnemonicDetail(", CHAR(34), B89, CHAR(34), ", ", CHAR(34), C89, CHAR(34),")));")</f>
        <v>map.add(new MatchingMnemonic("E", new MatchingMnemonicDetail(" Enjoy", "Coca-Cola")));</v>
      </c>
    </row>
    <row r="90" spans="1:5" x14ac:dyDescent="0.25">
      <c r="A90" s="4" t="s">
        <v>140</v>
      </c>
      <c r="B90" s="2" t="str">
        <f>SUBSTITUTE(SUBSTITUTE(SUBSTITUTE(SUBSTITUTE(SUBSTITUTE(SUBSTITUTE(A90,"""",""), "“", ""),  "”", ""), ".", ""), "–", ""), "‘", "")</f>
        <v>Easy as Dell</v>
      </c>
      <c r="C90" s="4" t="s">
        <v>141</v>
      </c>
      <c r="D90" s="3" t="str">
        <f>GetFirstLettersOfAcronym(B90)</f>
        <v>EaD</v>
      </c>
      <c r="E90" s="3" t="str">
        <f xml:space="preserve"> CONCATENATE("map.add(new MatchingMnemonic(", CHAR(34), D90,  CHAR(34), ", ", "new MatchingMnemonicDetail(", CHAR(34), B90, CHAR(34), ", ", CHAR(34), C90, CHAR(34),")));")</f>
        <v>map.add(new MatchingMnemonic("EaD", new MatchingMnemonicDetail("Easy as Dell", "Dell Computer")));</v>
      </c>
    </row>
    <row r="91" spans="1:5" x14ac:dyDescent="0.25">
      <c r="A91" s="2" t="s">
        <v>490</v>
      </c>
      <c r="B91" s="2" t="str">
        <f>SUBSTITUTE(SUBSTITUTE(SUBSTITUTE(SUBSTITUTE(SUBSTITUTE(SUBSTITUTE(A91,"""",""), "“", ""),  "”", ""), ".", ""), "–", ""), "‘", "")</f>
        <v>Eat fresh</v>
      </c>
      <c r="C91" s="2" t="s">
        <v>491</v>
      </c>
      <c r="D91" s="3" t="str">
        <f>GetFirstLettersOfAcronym(B91)</f>
        <v>Ef</v>
      </c>
      <c r="E91" s="3" t="str">
        <f xml:space="preserve"> CONCATENATE("map.add(new MatchingMnemonic(", CHAR(34), D91,  CHAR(34), ", ", "new MatchingMnemonicDetail(", CHAR(34), B91, CHAR(34), ", ", CHAR(34), C91, CHAR(34),")));")</f>
        <v>map.add(new MatchingMnemonic("Ef", new MatchingMnemonicDetail("Eat fresh", "Subway")));</v>
      </c>
    </row>
    <row r="92" spans="1:5" x14ac:dyDescent="0.25">
      <c r="A92" s="2" t="s">
        <v>197</v>
      </c>
      <c r="B92" s="2" t="str">
        <f>SUBSTITUTE(SUBSTITUTE(SUBSTITUTE(SUBSTITUTE(SUBSTITUTE(SUBSTITUTE(A92,"""",""), "“", ""),  "”", ""), ".", ""), "–", ""), "‘", "")</f>
        <v>Extinct is forever</v>
      </c>
      <c r="C92" s="2" t="s">
        <v>198</v>
      </c>
      <c r="D92" s="3" t="str">
        <f>GetFirstLettersOfAcronym(B92)</f>
        <v>Eif</v>
      </c>
      <c r="E92" s="3" t="str">
        <f xml:space="preserve"> CONCATENATE("map.add(new MatchingMnemonic(", CHAR(34), D92,  CHAR(34), ", ", "new MatchingMnemonicDetail(", CHAR(34), B92, CHAR(34), ", ", CHAR(34), C92, CHAR(34),")));")</f>
        <v>map.add(new MatchingMnemonic("Eif", new MatchingMnemonicDetail("Extinct is forever", "Friends of the Animals")));</v>
      </c>
    </row>
    <row r="93" spans="1:5" x14ac:dyDescent="0.25">
      <c r="A93" s="4" t="s">
        <v>274</v>
      </c>
      <c r="B93" s="2" t="str">
        <f>SUBSTITUTE(SUBSTITUTE(SUBSTITUTE(SUBSTITUTE(SUBSTITUTE(SUBSTITUTE(A93,"""",""), "“", ""),  "”", ""), ".", ""), "–", ""), "‘", "")</f>
        <v>Every kiss begins with Kay</v>
      </c>
      <c r="C93" s="4" t="s">
        <v>275</v>
      </c>
      <c r="D93" s="3" t="str">
        <f>GetFirstLettersOfAcronym(B93)</f>
        <v>EkbwK</v>
      </c>
      <c r="E93" s="3" t="str">
        <f xml:space="preserve"> CONCATENATE("map.add(new MatchingMnemonic(", CHAR(34), D93,  CHAR(34), ", ", "new MatchingMnemonicDetail(", CHAR(34), B93, CHAR(34), ", ", CHAR(34), C93, CHAR(34),")));")</f>
        <v>map.add(new MatchingMnemonic("EkbwK", new MatchingMnemonicDetail("Every kiss begins with Kay", "Kay Jewelers")));</v>
      </c>
    </row>
    <row r="94" spans="1:5" x14ac:dyDescent="0.25">
      <c r="A94" t="s">
        <v>834</v>
      </c>
      <c r="B94" s="2" t="str">
        <f>SUBSTITUTE(SUBSTITUTE(SUBSTITUTE(SUBSTITUTE(SUBSTITUTE(SUBSTITUTE(TRIM(A94),"""",""), "“", ""),  "”", ""), ".", ""), "–", ""), "‘", "")</f>
        <v>Every little helps</v>
      </c>
      <c r="C94" t="s">
        <v>937</v>
      </c>
      <c r="D94" s="3" t="str">
        <f>GetFirstLettersOfAcronym(B94)</f>
        <v>Elh</v>
      </c>
      <c r="E94" s="3" t="str">
        <f xml:space="preserve"> CONCATENATE("map.add(new MatchingMnemonic(", CHAR(34), D94,  CHAR(34), ", ", "new MatchingMnemonicDetail(", CHAR(34), B94, CHAR(34), ", ", CHAR(34), C94, CHAR(34),")));")</f>
        <v>map.add(new MatchingMnemonic("Elh", new MatchingMnemonicDetail("Every little helps", "Tesco")));</v>
      </c>
    </row>
    <row r="95" spans="1:5" x14ac:dyDescent="0.25">
      <c r="A95" s="2" t="s">
        <v>504</v>
      </c>
      <c r="B95" s="2" t="str">
        <f>SUBSTITUTE(SUBSTITUTE(SUBSTITUTE(SUBSTITUTE(SUBSTITUTE(SUBSTITUTE(A95,"""",""), "“", ""),  "”", ""), ".", ""), "–", ""), "‘", "")</f>
        <v>Expect more Pay less</v>
      </c>
      <c r="C95" s="2" t="s">
        <v>505</v>
      </c>
      <c r="D95" s="3" t="str">
        <f>GetFirstLettersOfAcronym(B95)</f>
        <v>EmPl</v>
      </c>
      <c r="E95" s="3" t="str">
        <f xml:space="preserve"> CONCATENATE("map.add(new MatchingMnemonic(", CHAR(34), D95,  CHAR(34), ", ", "new MatchingMnemonicDetail(", CHAR(34), B95, CHAR(34), ", ", CHAR(34), C95, CHAR(34),")));")</f>
        <v>map.add(new MatchingMnemonic("EmPl", new MatchingMnemonicDetail("Expect more Pay less", "Target")));</v>
      </c>
    </row>
    <row r="96" spans="1:5" x14ac:dyDescent="0.25">
      <c r="A96" s="2" t="s">
        <v>450</v>
      </c>
      <c r="B96" s="2" t="str">
        <f>SUBSTITUTE(SUBSTITUTE(SUBSTITUTE(SUBSTITUTE(SUBSTITUTE(SUBSTITUTE(A96,"""",""), "“", ""),  "”", ""), ".", ""), "–", ""), "‘", "")</f>
        <v>Experience success</v>
      </c>
      <c r="C96" s="2" t="s">
        <v>451</v>
      </c>
      <c r="D96" s="3" t="str">
        <f>GetFirstLettersOfAcronym(B96)</f>
        <v>Es</v>
      </c>
      <c r="E96" s="3" t="str">
        <f xml:space="preserve"> CONCATENATE("map.add(new MatchingMnemonic(", CHAR(34), D96,  CHAR(34), ", ", "new MatchingMnemonicDetail(", CHAR(34), B96, CHAR(34), ", ", CHAR(34), C96, CHAR(34),")));")</f>
        <v>map.add(new MatchingMnemonic("Es", new MatchingMnemonicDetail("Experience success", "Salesforce.com")));</v>
      </c>
    </row>
    <row r="97" spans="1:5" x14ac:dyDescent="0.25">
      <c r="A97" s="4" t="s">
        <v>111</v>
      </c>
      <c r="B97" s="2" t="str">
        <f>SUBSTITUTE(SUBSTITUTE(SUBSTITUTE(SUBSTITUTE(SUBSTITUTE(SUBSTITUTE(A97,"""",""), "“", ""),  "”", ""), ".", ""), "–", ""), "‘", "")</f>
        <v>Empowering the Internet generation</v>
      </c>
      <c r="C97" s="4" t="s">
        <v>112</v>
      </c>
      <c r="D97" s="3" t="str">
        <f>GetFirstLettersOfAcronym(B97)</f>
        <v>EtIg</v>
      </c>
      <c r="E97" s="3" t="str">
        <f xml:space="preserve"> CONCATENATE("map.add(new MatchingMnemonic(", CHAR(34), D97,  CHAR(34), ", ", "new MatchingMnemonicDetail(", CHAR(34), B97, CHAR(34), ", ", CHAR(34), C97, CHAR(34),")));")</f>
        <v>map.add(new MatchingMnemonic("EtIg", new MatchingMnemonicDetail("Empowering the Internet generation", "Cisco Systems")));</v>
      </c>
    </row>
    <row r="98" spans="1:5" x14ac:dyDescent="0.25">
      <c r="A98" s="2" t="s">
        <v>372</v>
      </c>
      <c r="B98" s="2" t="str">
        <f>SUBSTITUTE(SUBSTITUTE(SUBSTITUTE(SUBSTITUTE(SUBSTITUTE(SUBSTITUTE(A98,"""",""), "“", ""),  "”", ""), ".", ""), "–", ""), "‘", "")</f>
        <v>Enjoy the ride</v>
      </c>
      <c r="C98" s="2" t="s">
        <v>373</v>
      </c>
      <c r="D98" s="3" t="str">
        <f>GetFirstLettersOfAcronym(B98)</f>
        <v>Etr</v>
      </c>
      <c r="E98" s="3" t="str">
        <f xml:space="preserve"> CONCATENATE("map.add(new MatchingMnemonic(", CHAR(34), D98,  CHAR(34), ", ", "new MatchingMnemonicDetail(", CHAR(34), B98, CHAR(34), ", ", CHAR(34), C98, CHAR(34),")));")</f>
        <v>map.add(new MatchingMnemonic("Etr", new MatchingMnemonicDetail("Enjoy the ride", "Nissan")));</v>
      </c>
    </row>
    <row r="99" spans="1:5" ht="28.5" x14ac:dyDescent="0.25">
      <c r="A99" s="2" t="s">
        <v>339</v>
      </c>
      <c r="B99" s="2" t="str">
        <f>SUBSTITUTE(SUBSTITUTE(SUBSTITUTE(SUBSTITUTE(SUBSTITUTE(SUBSTITUTE(A99,"""",""), "“", ""),  "”", ""), ".", ""), "–", ""), "‘", "")</f>
        <v>Everything you always wanted in a beer And less</v>
      </c>
      <c r="C99" s="2" t="s">
        <v>340</v>
      </c>
      <c r="D99" s="3" t="str">
        <f>GetFirstLettersOfAcronym(B99)</f>
        <v>EyawiabAl</v>
      </c>
      <c r="E99" s="3" t="str">
        <f xml:space="preserve"> CONCATENATE("map.add(new MatchingMnemonic(", CHAR(34), D99,  CHAR(34), ", ", "new MatchingMnemonicDetail(", CHAR(34), B99, CHAR(34), ", ", CHAR(34), C99, CHAR(34),")));")</f>
        <v>map.add(new MatchingMnemonic("EyawiabAl", new MatchingMnemonicDetail("Everything you always wanted in a beer And less", "Miller Lite")));</v>
      </c>
    </row>
    <row r="100" spans="1:5" x14ac:dyDescent="0.25">
      <c r="A100" t="s">
        <v>864</v>
      </c>
      <c r="B100" s="2" t="str">
        <f>SUBSTITUTE(SUBSTITUTE(SUBSTITUTE(SUBSTITUTE(SUBSTITUTE(SUBSTITUTE(TRIM(A100),"""",""), "“", ""),  "”", ""), ".", ""), "–", ""), "‘", "")</f>
        <v>Express yourself every day</v>
      </c>
      <c r="C100" t="s">
        <v>928</v>
      </c>
      <c r="D100" s="3" t="str">
        <f>GetFirstLettersOfAcronym(B100)</f>
        <v>Eyed</v>
      </c>
      <c r="E100" s="3" t="str">
        <f xml:space="preserve"> CONCATENATE("map.add(new MatchingMnemonic(", CHAR(34), D100,  CHAR(34), ", ", "new MatchingMnemonicDetail(", CHAR(34), B100, CHAR(34), ", ", CHAR(34), C100, CHAR(34),")));")</f>
        <v>map.add(new MatchingMnemonic("Eyed", new MatchingMnemonicDetail("Express yourself every day", "Philips")));</v>
      </c>
    </row>
    <row r="101" spans="1:5" x14ac:dyDescent="0.25">
      <c r="A101" s="4" t="s">
        <v>452</v>
      </c>
      <c r="B101" s="2" t="str">
        <f>SUBSTITUTE(SUBSTITUTE(SUBSTITUTE(SUBSTITUTE(SUBSTITUTE(SUBSTITUTE(A101,"""",""), "“", ""),  "”", ""), ".", ""), "–", ""), "‘", "")</f>
        <v>Everything you love about coffee</v>
      </c>
      <c r="C101" s="4" t="s">
        <v>453</v>
      </c>
      <c r="D101" s="3" t="str">
        <f>GetFirstLettersOfAcronym(B101)</f>
        <v>Eylac</v>
      </c>
      <c r="E101" s="3" t="str">
        <f xml:space="preserve"> CONCATENATE("map.add(new MatchingMnemonic(", CHAR(34), D101,  CHAR(34), ", ", "new MatchingMnemonicDetail(", CHAR(34), B101, CHAR(34), ", ", CHAR(34), C101, CHAR(34),")));")</f>
        <v>map.add(new MatchingMnemonic("Eylac", new MatchingMnemonicDetail("Everything you love about coffee", "Sanka")));</v>
      </c>
    </row>
    <row r="102" spans="1:5" x14ac:dyDescent="0.25">
      <c r="A102" s="4" t="s">
        <v>565</v>
      </c>
      <c r="B102" s="2" t="str">
        <f>SUBSTITUTE(SUBSTITUTE(SUBSTITUTE(SUBSTITUTE(SUBSTITUTE(SUBSTITUTE(A102,"""",""), "“", ""),  "”", ""), ".", ""), "–", ""), "‘", "")</f>
        <v>Fahrvergnugen</v>
      </c>
      <c r="C102" s="4" t="s">
        <v>563</v>
      </c>
      <c r="D102" s="3" t="str">
        <f>GetFirstLettersOfAcronym(B102)</f>
        <v>F</v>
      </c>
      <c r="E102" s="3" t="str">
        <f xml:space="preserve"> CONCATENATE("map.add(new MatchingMnemonic(", CHAR(34), D102,  CHAR(34), ", ", "new MatchingMnemonicDetail(", CHAR(34), B102, CHAR(34), ", ", CHAR(34), C102, CHAR(34),")));")</f>
        <v>map.add(new MatchingMnemonic("F", new MatchingMnemonicDetail("Fahrvergnugen", "Volkswagen")));</v>
      </c>
    </row>
    <row r="103" spans="1:5" x14ac:dyDescent="0.25">
      <c r="A103" s="4" t="s">
        <v>195</v>
      </c>
      <c r="B103" s="2" t="str">
        <f>SUBSTITUTE(SUBSTITUTE(SUBSTITUTE(SUBSTITUTE(SUBSTITUTE(SUBSTITUTE(A103,"""",""), "“", ""),  "”", ""), ".", ""), "–", ""), "‘", "")</f>
        <v>Fair and balanced</v>
      </c>
      <c r="C103" s="4" t="s">
        <v>196</v>
      </c>
      <c r="D103" s="3" t="str">
        <f>GetFirstLettersOfAcronym(B103)</f>
        <v>Fab</v>
      </c>
      <c r="E103" s="3" t="str">
        <f xml:space="preserve"> CONCATENATE("map.add(new MatchingMnemonic(", CHAR(34), D103,  CHAR(34), ", ", "new MatchingMnemonicDetail(", CHAR(34), B103, CHAR(34), ", ", CHAR(34), C103, CHAR(34),")));")</f>
        <v>map.add(new MatchingMnemonic("Fab", new MatchingMnemonicDetail("Fair and balanced", "Fox News")));</v>
      </c>
    </row>
    <row r="104" spans="1:5" x14ac:dyDescent="0.25">
      <c r="A104" s="2" t="s">
        <v>193</v>
      </c>
      <c r="B104" s="2" t="str">
        <f>SUBSTITUTE(SUBSTITUTE(SUBSTITUTE(SUBSTITUTE(SUBSTITUTE(SUBSTITUTE(A104,"""",""), "“", ""),  "”", ""), ".", ""), "–", ""), "‘", "")</f>
        <v>Fosters  Australian for beer</v>
      </c>
      <c r="C104" s="2" t="s">
        <v>194</v>
      </c>
      <c r="D104" s="3" t="str">
        <f>GetFirstLettersOfAcronym(B104)</f>
        <v>FAfb</v>
      </c>
      <c r="E104" s="3" t="str">
        <f xml:space="preserve"> CONCATENATE("map.add(new MatchingMnemonic(", CHAR(34), D104,  CHAR(34), ", ", "new MatchingMnemonicDetail(", CHAR(34), B104, CHAR(34), ", ", CHAR(34), C104, CHAR(34),")));")</f>
        <v>map.add(new MatchingMnemonic("FAfb", new MatchingMnemonicDetail("Fosters  Australian for beer", "Fosters Australian Beer")));</v>
      </c>
    </row>
    <row r="105" spans="1:5" x14ac:dyDescent="0.25">
      <c r="A105" s="4" t="s">
        <v>580</v>
      </c>
      <c r="B105" s="2" t="str">
        <f>SUBSTITUTE(SUBSTITUTE(SUBSTITUTE(SUBSTITUTE(SUBSTITUTE(SUBSTITUTE(A105,"""",""), "“", ""),  "”", ""), ".", ""), "–", ""), "‘", "")</f>
        <v>For a living planet</v>
      </c>
      <c r="C105" s="4" t="s">
        <v>581</v>
      </c>
      <c r="D105" s="3" t="str">
        <f>GetFirstLettersOfAcronym(B105)</f>
        <v>Falp</v>
      </c>
      <c r="E105" s="3" t="str">
        <f xml:space="preserve"> CONCATENATE("map.add(new MatchingMnemonic(", CHAR(34), D105,  CHAR(34), ", ", "new MatchingMnemonicDetail(", CHAR(34), B105, CHAR(34), ", ", CHAR(34), C105, CHAR(34),")));")</f>
        <v>map.add(new MatchingMnemonic("Falp", new MatchingMnemonicDetail("For a living planet", "World Wildlife Fund")));</v>
      </c>
    </row>
    <row r="106" spans="1:5" x14ac:dyDescent="0.25">
      <c r="A106" s="2" t="s">
        <v>603</v>
      </c>
      <c r="B106" s="2" t="str">
        <f>SUBSTITUTE(SUBSTITUTE(SUBSTITUTE(SUBSTITUTE(SUBSTITUTE(SUBSTITUTE(A106,"""",""), "“", ""),  "”", ""), ".", ""), "–", ""), "‘", "")</f>
        <v>For all you do, this Bud’s for you</v>
      </c>
      <c r="C106" s="2" t="s">
        <v>72</v>
      </c>
      <c r="D106" s="3" t="str">
        <f>GetFirstLettersOfAcronym(B106)</f>
        <v>FaydtBfy</v>
      </c>
      <c r="E106" s="3" t="str">
        <f xml:space="preserve"> CONCATENATE("map.add(new MatchingMnemonic(", CHAR(34), D106,  CHAR(34), ", ", "new MatchingMnemonicDetail(", CHAR(34), B106, CHAR(34), ", ", CHAR(34), C106, CHAR(34),")));")</f>
        <v>map.add(new MatchingMnemonic("FaydtBfy", new MatchingMnemonicDetail("For all you do, this Bud’s for you", "Budweiser")));</v>
      </c>
    </row>
    <row r="107" spans="1:5" x14ac:dyDescent="0.25">
      <c r="A107" s="2" t="s">
        <v>536</v>
      </c>
      <c r="B107" s="2" t="str">
        <f>SUBSTITUTE(SUBSTITUTE(SUBSTITUTE(SUBSTITUTE(SUBSTITUTE(SUBSTITUTE(A107,"""",""), "“", ""),  "”", ""), ".", ""), "–", ""), "‘", "")</f>
        <v>Friends don’t let friends drive drunk</v>
      </c>
      <c r="C107" s="2" t="s">
        <v>537</v>
      </c>
      <c r="D107" s="3" t="str">
        <f>GetFirstLettersOfAcronym(B107)</f>
        <v>Fdlfdd</v>
      </c>
      <c r="E107" s="3" t="str">
        <f xml:space="preserve"> CONCATENATE("map.add(new MatchingMnemonic(", CHAR(34), D107,  CHAR(34), ", ", "new MatchingMnemonicDetail(", CHAR(34), B107, CHAR(34), ", ", CHAR(34), C107, CHAR(34),")));")</f>
        <v>map.add(new MatchingMnemonic("Fdlfdd", new MatchingMnemonicDetail("Friends don’t let friends drive drunk", "U.S. Dept. of Transportation")));</v>
      </c>
    </row>
    <row r="108" spans="1:5" ht="28.5" x14ac:dyDescent="0.25">
      <c r="A108" t="s">
        <v>888</v>
      </c>
      <c r="B108" s="2" t="str">
        <f>SUBSTITUTE(SUBSTITUTE(SUBSTITUTE(SUBSTITUTE(SUBSTITUTE(SUBSTITUTE(TRIM(A108),"""",""), "“", ""),  "”", ""), ".", ""), "–", ""), "‘", "")</f>
        <v>For Everything Else, There’s MasterCard</v>
      </c>
      <c r="C108" t="s">
        <v>310</v>
      </c>
      <c r="D108" s="3" t="str">
        <f>GetFirstLettersOfAcronym(B108)</f>
        <v>FEETM</v>
      </c>
      <c r="E108" s="3" t="str">
        <f xml:space="preserve"> CONCATENATE("map.add(new MatchingMnemonic(", CHAR(34), D108,  CHAR(34), ", ", "new MatchingMnemonicDetail(", CHAR(34), B108, CHAR(34), ", ", CHAR(34), C108, CHAR(34),")));")</f>
        <v>map.add(new MatchingMnemonic("FEETM", new MatchingMnemonicDetail("For Everything Else, There’s MasterCard", "MasterCard")));</v>
      </c>
    </row>
    <row r="109" spans="1:5" x14ac:dyDescent="0.25">
      <c r="A109" t="s">
        <v>835</v>
      </c>
      <c r="B109" s="2" t="str">
        <f>SUBSTITUTE(SUBSTITUTE(SUBSTITUTE(SUBSTITUTE(SUBSTITUTE(SUBSTITUTE(TRIM(A109),"""",""), "“", ""),  "”", ""), ".", ""), "–", ""), "‘", "")</f>
        <v>Free enterprise with every copy</v>
      </c>
      <c r="C109" t="s">
        <v>778</v>
      </c>
      <c r="D109" s="3" t="str">
        <f>GetFirstLettersOfAcronym(B109)</f>
        <v>Fewec</v>
      </c>
      <c r="E109" s="3" t="str">
        <f xml:space="preserve"> CONCATENATE("map.add(new MatchingMnemonic(", CHAR(34), D109,  CHAR(34), ", ", "new MatchingMnemonicDetail(", CHAR(34), B109, CHAR(34), ", ", CHAR(34), C109, CHAR(34),")));")</f>
        <v>map.add(new MatchingMnemonic("Fewec", new MatchingMnemonicDetail("Free enterprise with every copy", "The Economist")));</v>
      </c>
    </row>
    <row r="110" spans="1:5" x14ac:dyDescent="0.25">
      <c r="A110" t="s">
        <v>777</v>
      </c>
      <c r="B110" s="2" t="str">
        <f>SUBSTITUTE(SUBSTITUTE(SUBSTITUTE(SUBSTITUTE(SUBSTITUTE(SUBSTITUTE(TRIM(A110),"""",""), "“", ""),  "”", ""), ".", ""), "–", ""), "‘", "")</f>
        <v>Free enterprise with every issue</v>
      </c>
      <c r="C110" t="s">
        <v>778</v>
      </c>
      <c r="D110" s="3" t="str">
        <f>GetFirstLettersOfAcronym(B110)</f>
        <v>Fewei</v>
      </c>
      <c r="E110" s="3" t="str">
        <f xml:space="preserve"> CONCATENATE("map.add(new MatchingMnemonic(", CHAR(34), D110,  CHAR(34), ", ", "new MatchingMnemonicDetail(", CHAR(34), B110, CHAR(34), ", ", CHAR(34), C110, CHAR(34),")));")</f>
        <v>map.add(new MatchingMnemonic("Fewei", new MatchingMnemonicDetail("Free enterprise with every issue", "The Economist")));</v>
      </c>
    </row>
    <row r="111" spans="1:5" x14ac:dyDescent="0.25">
      <c r="A111" s="4" t="s">
        <v>421</v>
      </c>
      <c r="B111" s="2" t="str">
        <f>SUBSTITUTE(SUBSTITUTE(SUBSTITUTE(SUBSTITUTE(SUBSTITUTE(SUBSTITUTE(A111,"""",""), "“", ""),  "”", ""), ".", ""), "–", ""), "‘", "")</f>
        <v>Famously fresh</v>
      </c>
      <c r="C111" s="4" t="s">
        <v>422</v>
      </c>
      <c r="D111" s="3" t="str">
        <f>GetFirstLettersOfAcronym(B111)</f>
        <v>Ff</v>
      </c>
      <c r="E111" s="3" t="str">
        <f xml:space="preserve"> CONCATENATE("map.add(new MatchingMnemonic(", CHAR(34), D111,  CHAR(34), ", ", "new MatchingMnemonicDetail(", CHAR(34), B111, CHAR(34), ", ", CHAR(34), C111, CHAR(34),")));")</f>
        <v>map.add(new MatchingMnemonic("Ff", new MatchingMnemonicDetail("Famously fresh", "Planter’s Peanuts")));</v>
      </c>
    </row>
    <row r="112" spans="1:5" x14ac:dyDescent="0.25">
      <c r="A112" s="4" t="s">
        <v>30</v>
      </c>
      <c r="B112" s="2" t="str">
        <f>SUBSTITUTE(SUBSTITUTE(SUBSTITUTE(SUBSTITUTE(SUBSTITUTE(SUBSTITUTE(A112,"""",""), "“", ""),  "”", ""), ".", ""), "–", ""), "‘", "")</f>
        <v>For fast, fast, fast relief</v>
      </c>
      <c r="C112" s="4" t="s">
        <v>31</v>
      </c>
      <c r="D112" s="3" t="str">
        <f>GetFirstLettersOfAcronym(B112)</f>
        <v>Ffffr</v>
      </c>
      <c r="E112" s="3" t="str">
        <f xml:space="preserve"> CONCATENATE("map.add(new MatchingMnemonic(", CHAR(34), D112,  CHAR(34), ", ", "new MatchingMnemonicDetail(", CHAR(34), B112, CHAR(34), ", ", CHAR(34), C112, CHAR(34),")));")</f>
        <v>map.add(new MatchingMnemonic("Ffffr", new MatchingMnemonicDetail("For fast, fast, fast relief", "Anacin")));</v>
      </c>
    </row>
    <row r="113" spans="1:5" x14ac:dyDescent="0.25">
      <c r="A113" s="2" t="s">
        <v>278</v>
      </c>
      <c r="B113" s="2" t="str">
        <f>SUBSTITUTE(SUBSTITUTE(SUBSTITUTE(SUBSTITUTE(SUBSTITUTE(SUBSTITUTE(A113,"""",""), "“", ""),  "”", ""), ".", ""), "–", ""), "‘", "")</f>
        <v>Finger-lickin’ good!</v>
      </c>
      <c r="C113" s="2" t="s">
        <v>279</v>
      </c>
      <c r="D113" s="3" t="str">
        <f>GetFirstLettersOfAcronym(B113)</f>
        <v>Fg</v>
      </c>
      <c r="E113" s="3" t="str">
        <f xml:space="preserve"> CONCATENATE("map.add(new MatchingMnemonic(", CHAR(34), D113,  CHAR(34), ", ", "new MatchingMnemonicDetail(", CHAR(34), B113, CHAR(34), ", ", CHAR(34), C113, CHAR(34),")));")</f>
        <v>map.add(new MatchingMnemonic("Fg", new MatchingMnemonicDetail("Finger-lickin’ good!", "Kentucky Fried Chicken")));</v>
      </c>
    </row>
    <row r="114" spans="1:5" x14ac:dyDescent="0.25">
      <c r="A114" s="2" t="s">
        <v>191</v>
      </c>
      <c r="B114" s="2" t="str">
        <f>SUBSTITUTE(SUBSTITUTE(SUBSTITUTE(SUBSTITUTE(SUBSTITUTE(SUBSTITUTE(A114,"""",""), "“", ""),  "”", ""), ".", ""), "–", ""), "‘", "")</f>
        <v>Ford has a better idea</v>
      </c>
      <c r="C114" s="2" t="s">
        <v>190</v>
      </c>
      <c r="D114" s="3" t="str">
        <f>GetFirstLettersOfAcronym(B114)</f>
        <v>Fhabi</v>
      </c>
      <c r="E114" s="3" t="str">
        <f xml:space="preserve"> CONCATENATE("map.add(new MatchingMnemonic(", CHAR(34), D114,  CHAR(34), ", ", "new MatchingMnemonicDetail(", CHAR(34), B114, CHAR(34), ", ", CHAR(34), C114, CHAR(34),")));")</f>
        <v>map.add(new MatchingMnemonic("Fhabi", new MatchingMnemonicDetail("Ford has a better idea", "Ford")));</v>
      </c>
    </row>
    <row r="115" spans="1:5" x14ac:dyDescent="0.25">
      <c r="A115" s="4" t="s">
        <v>64</v>
      </c>
      <c r="B115" s="2" t="str">
        <f>SUBSTITUTE(SUBSTITUTE(SUBSTITUTE(SUBSTITUTE(SUBSTITUTE(SUBSTITUTE(A115,"""",""), "“", ""),  "”", ""), ".", ""), "–", ""), "‘", "")</f>
        <v>Fill it to the rim with Brim</v>
      </c>
      <c r="C115" s="4" t="s">
        <v>65</v>
      </c>
      <c r="D115" s="3" t="str">
        <f>GetFirstLettersOfAcronym(B115)</f>
        <v>FittrwB</v>
      </c>
      <c r="E115" s="3" t="str">
        <f xml:space="preserve"> CONCATENATE("map.add(new MatchingMnemonic(", CHAR(34), D115,  CHAR(34), ", ", "new MatchingMnemonicDetail(", CHAR(34), B115, CHAR(34), ", ", CHAR(34), C115, CHAR(34),")));")</f>
        <v>map.add(new MatchingMnemonic("FittrwB", new MatchingMnemonicDetail("Fill it to the rim with Brim", "Brim Decaffeinated Coffee")));</v>
      </c>
    </row>
    <row r="116" spans="1:5" x14ac:dyDescent="0.25">
      <c r="A116" s="2" t="s">
        <v>566</v>
      </c>
      <c r="B116" s="2" t="str">
        <f>SUBSTITUTE(SUBSTITUTE(SUBSTITUTE(SUBSTITUTE(SUBSTITUTE(SUBSTITUTE(A116,"""",""), "“", ""),  "”", ""), ".", ""), "–", ""), "‘", "")</f>
        <v>For life</v>
      </c>
      <c r="C116" s="2" t="s">
        <v>567</v>
      </c>
      <c r="D116" s="3" t="str">
        <f>GetFirstLettersOfAcronym(B116)</f>
        <v>Fl</v>
      </c>
      <c r="E116" s="3" t="str">
        <f xml:space="preserve"> CONCATENATE("map.add(new MatchingMnemonic(", CHAR(34), D116,  CHAR(34), ", ", "new MatchingMnemonicDetail(", CHAR(34), B116, CHAR(34), ", ", CHAR(34), C116, CHAR(34),")));")</f>
        <v>map.add(new MatchingMnemonic("Fl", new MatchingMnemonicDetail("For life", "Volvo")));</v>
      </c>
    </row>
    <row r="117" spans="1:5" x14ac:dyDescent="0.25">
      <c r="A117" s="4" t="s">
        <v>51</v>
      </c>
      <c r="B117" s="2" t="str">
        <f>SUBSTITUTE(SUBSTITUTE(SUBSTITUTE(SUBSTITUTE(SUBSTITUTE(SUBSTITUTE(A117,"""",""), "“", ""),  "”", ""), ".", ""), "–", ""), "‘", "")</f>
        <v>Flick my Bic</v>
      </c>
      <c r="C117" s="4" t="s">
        <v>52</v>
      </c>
      <c r="D117" s="3" t="str">
        <f>GetFirstLettersOfAcronym(B117)</f>
        <v>FmB</v>
      </c>
      <c r="E117" s="3" t="str">
        <f xml:space="preserve"> CONCATENATE("map.add(new MatchingMnemonic(", CHAR(34), D117,  CHAR(34), ", ", "new MatchingMnemonicDetail(", CHAR(34), B117, CHAR(34), ", ", CHAR(34), C117, CHAR(34),")));")</f>
        <v>map.add(new MatchingMnemonic("FmB", new MatchingMnemonicDetail("Flick my Bic", "Bic")));</v>
      </c>
    </row>
    <row r="118" spans="1:5" x14ac:dyDescent="0.25">
      <c r="A118" t="s">
        <v>860</v>
      </c>
      <c r="B118" s="2" t="str">
        <f>SUBSTITUTE(SUBSTITUTE(SUBSTITUTE(SUBSTITUTE(SUBSTITUTE(SUBSTITUTE(TRIM(A118),"""",""), "“", ""),  "”", ""), ".", ""), "–", ""), "‘", "")</f>
        <v>For men who don’t have to try too hard</v>
      </c>
      <c r="C118" t="s">
        <v>900</v>
      </c>
      <c r="D118" s="3" t="str">
        <f>GetFirstLettersOfAcronym(B118)</f>
        <v>Fmwdhttth</v>
      </c>
      <c r="E118" s="3" t="str">
        <f xml:space="preserve"> CONCATENATE("map.add(new MatchingMnemonic(", CHAR(34), D118,  CHAR(34), ", ", "new MatchingMnemonicDetail(", CHAR(34), B118, CHAR(34), ", ", CHAR(34), C118, CHAR(34),")));")</f>
        <v>map.add(new MatchingMnemonic("Fmwdhttth", new MatchingMnemonicDetail("For men who don’t have to try too hard", "Denim Aftershave")));</v>
      </c>
    </row>
    <row r="119" spans="1:5" x14ac:dyDescent="0.25">
      <c r="A119" s="2" t="s">
        <v>89</v>
      </c>
      <c r="B119" s="2" t="str">
        <f>SUBSTITUTE(SUBSTITUTE(SUBSTITUTE(SUBSTITUTE(SUBSTITUTE(SUBSTITUTE(A119,"""",""), "“", ""),  "”", ""), ".", ""), "–", ""), "‘", "")</f>
        <v>For negative people</v>
      </c>
      <c r="C119" s="2" t="s">
        <v>90</v>
      </c>
      <c r="D119" s="3" t="str">
        <f>GetFirstLettersOfAcronym(B119)</f>
        <v>Fnp</v>
      </c>
      <c r="E119" s="3" t="str">
        <f xml:space="preserve"> CONCATENATE("map.add(new MatchingMnemonic(", CHAR(34), D119,  CHAR(34), ", ", "new MatchingMnemonicDetail(", CHAR(34), B119, CHAR(34), ", ", CHAR(34), C119, CHAR(34),")));")</f>
        <v>map.add(new MatchingMnemonic("Fnp", new MatchingMnemonicDetail("For negative people", "CameraWorld")));</v>
      </c>
    </row>
    <row r="120" spans="1:5" x14ac:dyDescent="0.25">
      <c r="A120" s="4" t="s">
        <v>456</v>
      </c>
      <c r="B120" s="2" t="str">
        <f>SUBSTITUTE(SUBSTITUTE(SUBSTITUTE(SUBSTITUTE(SUBSTITUTE(SUBSTITUTE(A120,"""",""), "“", ""),  "”", ""), ".", ""), "–", ""), "‘", "")</f>
        <v>Funny name Serious sandwich</v>
      </c>
      <c r="C120" s="4" t="s">
        <v>457</v>
      </c>
      <c r="D120" s="3" t="str">
        <f>GetFirstLettersOfAcronym(B120)</f>
        <v>FnSs</v>
      </c>
      <c r="E120" s="3" t="str">
        <f xml:space="preserve"> CONCATENATE("map.add(new MatchingMnemonic(", CHAR(34), D120,  CHAR(34), ", ", "new MatchingMnemonicDetail(", CHAR(34), B120, CHAR(34), ", ", CHAR(34), C120, CHAR(34),")));")</f>
        <v>map.add(new MatchingMnemonic("FnSs", new MatchingMnemonicDetail("Funny name Serious sandwich", "Schlotzky’s Deli")));</v>
      </c>
    </row>
    <row r="121" spans="1:5" x14ac:dyDescent="0.25">
      <c r="A121" s="3" t="s">
        <v>745</v>
      </c>
      <c r="B121" s="2" t="str">
        <f>SUBSTITUTE(SUBSTITUTE(SUBSTITUTE(SUBSTITUTE(SUBSTITUTE(SUBSTITUTE(A121,"""",""), "“", ""),  "”", ""), ".", ""), "–", ""), "‘", "")</f>
        <v xml:space="preserve"> Fueling the American Spirit</v>
      </c>
      <c r="C121" s="3" t="s">
        <v>744</v>
      </c>
      <c r="D121" s="3" t="str">
        <f>GetFirstLettersOfAcronym(B121)</f>
        <v>FtAS</v>
      </c>
      <c r="E121" s="3" t="str">
        <f xml:space="preserve"> CONCATENATE("map.add(new MatchingMnemonic(", CHAR(34), D121,  CHAR(34), ", ", "new MatchingMnemonicDetail(", CHAR(34), B121, CHAR(34), ", ", CHAR(34), C121, CHAR(34),")));")</f>
        <v>map.add(new MatchingMnemonic("FtAS", new MatchingMnemonicDetail(" Fueling the American Spirit", "Marathon Petroleum ")));</v>
      </c>
    </row>
    <row r="122" spans="1:5" x14ac:dyDescent="0.25">
      <c r="A122" t="s">
        <v>872</v>
      </c>
      <c r="B122" s="2" t="str">
        <f>SUBSTITUTE(SUBSTITUTE(SUBSTITUTE(SUBSTITUTE(SUBSTITUTE(SUBSTITUTE(TRIM(A122),"""",""), "“", ""),  "”", ""), ".", ""), "–", ""), "‘", "")</f>
        <v>Fly the friendly skies</v>
      </c>
      <c r="C122" t="s">
        <v>527</v>
      </c>
      <c r="D122" s="3" t="str">
        <f>GetFirstLettersOfAcronym(B122)</f>
        <v>Ftfs</v>
      </c>
      <c r="E122" s="3" t="str">
        <f xml:space="preserve"> CONCATENATE("map.add(new MatchingMnemonic(", CHAR(34), D122,  CHAR(34), ", ", "new MatchingMnemonicDetail(", CHAR(34), B122, CHAR(34), ", ", CHAR(34), C122, CHAR(34),")));")</f>
        <v>map.add(new MatchingMnemonic("Ftfs", new MatchingMnemonicDetail("Fly the friendly skies", "United Airlines")));</v>
      </c>
    </row>
    <row r="123" spans="1:5" x14ac:dyDescent="0.25">
      <c r="A123" s="4" t="s">
        <v>694</v>
      </c>
      <c r="B123" s="2" t="str">
        <f>SUBSTITUTE(SUBSTITUTE(SUBSTITUTE(SUBSTITUTE(SUBSTITUTE(SUBSTITUTE(A123,"""",""), "“", ""),  "”", ""), ".", ""), "–", ""), "‘", "")</f>
        <v>Fly the friendly skies (of United)</v>
      </c>
      <c r="C123" s="4" t="s">
        <v>527</v>
      </c>
      <c r="D123" s="3" t="str">
        <f>GetFirstLettersOfAcronym(B123)</f>
        <v>Ftfs(U</v>
      </c>
      <c r="E123" s="3" t="str">
        <f xml:space="preserve"> CONCATENATE("map.add(new MatchingMnemonic(", CHAR(34), D123,  CHAR(34), ", ", "new MatchingMnemonicDetail(", CHAR(34), B123, CHAR(34), ", ", CHAR(34), C123, CHAR(34),")));")</f>
        <v>map.add(new MatchingMnemonic("Ftfs(U", new MatchingMnemonicDetail("Fly the friendly skies (of United)", "United Airlines")));</v>
      </c>
    </row>
    <row r="124" spans="1:5" x14ac:dyDescent="0.25">
      <c r="A124" s="4" t="s">
        <v>631</v>
      </c>
      <c r="B124" s="2" t="str">
        <f>SUBSTITUTE(SUBSTITUTE(SUBSTITUTE(SUBSTITUTE(SUBSTITUTE(SUBSTITUTE(A124,"""",""), "“", ""),  "”", ""), ".", ""), "–", ""), "‘", "")</f>
        <v>From the land of sky-blue waters</v>
      </c>
      <c r="C124" s="4" t="s">
        <v>632</v>
      </c>
      <c r="D124" s="3" t="str">
        <f>GetFirstLettersOfAcronym(B124)</f>
        <v>Ftlosw</v>
      </c>
      <c r="E124" s="3" t="str">
        <f xml:space="preserve"> CONCATENATE("map.add(new MatchingMnemonic(", CHAR(34), D124,  CHAR(34), ", ", "new MatchingMnemonicDetail(", CHAR(34), B124, CHAR(34), ", ", CHAR(34), C124, CHAR(34),")));")</f>
        <v>map.add(new MatchingMnemonic("Ftlosw", new MatchingMnemonicDetail("From the land of sky-blue waters", "Hamm’s Beer")));</v>
      </c>
    </row>
    <row r="125" spans="1:5" x14ac:dyDescent="0.25">
      <c r="A125" s="3" t="s">
        <v>732</v>
      </c>
      <c r="B125" s="2" t="str">
        <f>SUBSTITUTE(SUBSTITUTE(SUBSTITUTE(SUBSTITUTE(SUBSTITUTE(SUBSTITUTE(A125,"""",""), "“", ""),  "”", ""), ".", ""), "–", ""), "‘", "")</f>
        <v xml:space="preserve"> For the men in charge of change</v>
      </c>
      <c r="C125" s="3" t="s">
        <v>731</v>
      </c>
      <c r="D125" s="3" t="str">
        <f>GetFirstLettersOfAcronym(B125)</f>
        <v>Ftmicoc</v>
      </c>
      <c r="E125" s="3" t="str">
        <f xml:space="preserve"> CONCATENATE("map.add(new MatchingMnemonic(", CHAR(34), D125,  CHAR(34), ", ", "new MatchingMnemonicDetail(", CHAR(34), B125, CHAR(34), ", ", CHAR(34), C125, CHAR(34),")));")</f>
        <v>map.add(new MatchingMnemonic("Ftmicoc", new MatchingMnemonicDetail(" For the men in charge of change", "Fortune ")));</v>
      </c>
    </row>
    <row r="126" spans="1:5" ht="28.5" x14ac:dyDescent="0.25">
      <c r="A126" s="4" t="s">
        <v>468</v>
      </c>
      <c r="B126" s="2" t="str">
        <f>SUBSTITUTE(SUBSTITUTE(SUBSTITUTE(SUBSTITUTE(SUBSTITUTE(SUBSTITUTE(A126,"""",""), "“", ""),  "”", ""), ".", ""), "–", ""), "‘", "")</f>
        <v>For the person who has everything, we have everything else</v>
      </c>
      <c r="C126" s="4" t="s">
        <v>469</v>
      </c>
      <c r="D126" s="3" t="str">
        <f>GetFirstLettersOfAcronym(B126)</f>
        <v>Ftpwhewhee</v>
      </c>
      <c r="E126" s="3" t="str">
        <f xml:space="preserve"> CONCATENATE("map.add(new MatchingMnemonic(", CHAR(34), D126,  CHAR(34), ", ", "new MatchingMnemonicDetail(", CHAR(34), B126, CHAR(34), ", ", CHAR(34), C126, CHAR(34),")));")</f>
        <v>map.add(new MatchingMnemonic("Ftpwhewhee", new MatchingMnemonicDetail("For the person who has everything, we have everything else", "The Sharper Image")));</v>
      </c>
    </row>
    <row r="127" spans="1:5" x14ac:dyDescent="0.25">
      <c r="A127" s="2" t="s">
        <v>93</v>
      </c>
      <c r="B127" s="2" t="str">
        <f>SUBSTITUTE(SUBSTITUTE(SUBSTITUTE(SUBSTITUTE(SUBSTITUTE(SUBSTITUTE(A127,"""",""), "“", ""),  "”", ""), ".", ""), "–", ""), "‘", "")</f>
        <v>For virtually spotless dishes</v>
      </c>
      <c r="C127" s="2" t="s">
        <v>94</v>
      </c>
      <c r="D127" s="3" t="str">
        <f>GetFirstLettersOfAcronym(B127)</f>
        <v>Fvsd</v>
      </c>
      <c r="E127" s="3" t="str">
        <f xml:space="preserve"> CONCATENATE("map.add(new MatchingMnemonic(", CHAR(34), D127,  CHAR(34), ", ", "new MatchingMnemonicDetail(", CHAR(34), B127, CHAR(34), ", ", CHAR(34), C127, CHAR(34),")));")</f>
        <v>map.add(new MatchingMnemonic("Fvsd", new MatchingMnemonicDetail("For virtually spotless dishes", "Cascade")));</v>
      </c>
    </row>
    <row r="128" spans="1:5" x14ac:dyDescent="0.25">
      <c r="A128" t="s">
        <v>811</v>
      </c>
      <c r="B128" s="2" t="str">
        <f>SUBSTITUTE(SUBSTITUTE(SUBSTITUTE(SUBSTITUTE(SUBSTITUTE(SUBSTITUTE(TRIM(A128),"""",""), "“", ""),  "”", ""), ".", ""), "–", ""), "‘", "")</f>
        <v>Grace…pace…pace</v>
      </c>
      <c r="C128" t="s">
        <v>264</v>
      </c>
      <c r="D128" s="3" t="str">
        <f>GetFirstLettersOfAcronym(B128)</f>
        <v>G</v>
      </c>
      <c r="E128" s="3" t="str">
        <f xml:space="preserve"> CONCATENATE("map.add(new MatchingMnemonic(", CHAR(34), D128,  CHAR(34), ", ", "new MatchingMnemonicDetail(", CHAR(34), B128, CHAR(34), ", ", CHAR(34), C128, CHAR(34),")));")</f>
        <v>map.add(new MatchingMnemonic("G", new MatchingMnemonicDetail("Grace…pace…pace", "Jaguar")));</v>
      </c>
    </row>
    <row r="129" spans="1:5" x14ac:dyDescent="0.25">
      <c r="A129" s="2" t="s">
        <v>540</v>
      </c>
      <c r="B129" s="2" t="str">
        <f>SUBSTITUTE(SUBSTITUTE(SUBSTITUTE(SUBSTITUTE(SUBSTITUTE(SUBSTITUTE(A129,"""",""), "“", ""),  "”", ""), ".", ""), "–", ""), "‘", "")</f>
        <v>Give a hoot, don’t pollute</v>
      </c>
      <c r="C129" s="2" t="s">
        <v>539</v>
      </c>
      <c r="D129" s="3" t="str">
        <f>GetFirstLettersOfAcronym(B129)</f>
        <v>Gahdp</v>
      </c>
      <c r="E129" s="3" t="str">
        <f xml:space="preserve"> CONCATENATE("map.add(new MatchingMnemonic(", CHAR(34), D129,  CHAR(34), ", ", "new MatchingMnemonicDetail(", CHAR(34), B129, CHAR(34), ", ", CHAR(34), C129, CHAR(34),")));")</f>
        <v>map.add(new MatchingMnemonic("Gahdp", new MatchingMnemonicDetail("Give a hoot, don’t pollute", "U.S. Forest Service")));</v>
      </c>
    </row>
    <row r="130" spans="1:5" x14ac:dyDescent="0.25">
      <c r="A130" s="2" t="s">
        <v>427</v>
      </c>
      <c r="B130" s="2" t="str">
        <f>SUBSTITUTE(SUBSTITUTE(SUBSTITUTE(SUBSTITUTE(SUBSTITUTE(SUBSTITUTE(A130,"""",""), "“", ""),  "”", ""), ".", ""), "–", ""), "‘", "")</f>
        <v>Get a piece of the rock</v>
      </c>
      <c r="C130" s="2" t="s">
        <v>428</v>
      </c>
      <c r="D130" s="3" t="str">
        <f>GetFirstLettersOfAcronym(B130)</f>
        <v>Gapotr</v>
      </c>
      <c r="E130" s="3" t="str">
        <f xml:space="preserve"> CONCATENATE("map.add(new MatchingMnemonic(", CHAR(34), D130,  CHAR(34), ", ", "new MatchingMnemonicDetail(", CHAR(34), B130, CHAR(34), ", ", CHAR(34), C130, CHAR(34),")));")</f>
        <v>map.add(new MatchingMnemonic("Gapotr", new MatchingMnemonicDetail("Get a piece of the rock", "Prudential")));</v>
      </c>
    </row>
    <row r="131" spans="1:5" x14ac:dyDescent="0.25">
      <c r="A131" t="s">
        <v>875</v>
      </c>
      <c r="B131" s="2" t="str">
        <f>SUBSTITUTE(SUBSTITUTE(SUBSTITUTE(SUBSTITUTE(SUBSTITUTE(SUBSTITUTE(TRIM(A131),"""",""), "“", ""),  "”", ""), ".", ""), "–", ""), "‘", "")</f>
        <v>Guinness is good for you</v>
      </c>
      <c r="C131" t="s">
        <v>790</v>
      </c>
      <c r="D131" s="3" t="str">
        <f>GetFirstLettersOfAcronym(B131)</f>
        <v>Gigfy</v>
      </c>
      <c r="E131" s="3" t="str">
        <f xml:space="preserve"> CONCATENATE("map.add(new MatchingMnemonic(", CHAR(34), D131,  CHAR(34), ", ", "new MatchingMnemonicDetail(", CHAR(34), B131, CHAR(34), ", ", CHAR(34), C131, CHAR(34),")));")</f>
        <v>map.add(new MatchingMnemonic("Gigfy", new MatchingMnemonicDetail("Guinness is good for you", "Guinness")));</v>
      </c>
    </row>
    <row r="132" spans="1:5" x14ac:dyDescent="0.25">
      <c r="A132" s="4" t="s">
        <v>80</v>
      </c>
      <c r="B132" s="2" t="str">
        <f>SUBSTITUTE(SUBSTITUTE(SUBSTITUTE(SUBSTITUTE(SUBSTITUTE(SUBSTITUTE(A132,"""",""), "“", ""),  "”", ""), ".", ""), "–", ""), "‘", "")</f>
        <v>Got milk?</v>
      </c>
      <c r="C132" s="4" t="s">
        <v>81</v>
      </c>
      <c r="D132" s="3" t="str">
        <f>GetFirstLettersOfAcronym(B132)</f>
        <v>Gm</v>
      </c>
      <c r="E132" s="3" t="str">
        <f xml:space="preserve"> CONCATENATE("map.add(new MatchingMnemonic(", CHAR(34), D132,  CHAR(34), ", ", "new MatchingMnemonicDetail(", CHAR(34), B132, CHAR(34), ", ", CHAR(34), C132, CHAR(34),")));")</f>
        <v>map.add(new MatchingMnemonic("Gm", new MatchingMnemonicDetail("Got milk?", "California Milk Processor Board")));</v>
      </c>
    </row>
    <row r="133" spans="1:5" x14ac:dyDescent="0.25">
      <c r="A133" s="2" t="s">
        <v>636</v>
      </c>
      <c r="B133" s="2" t="str">
        <f>SUBSTITUTE(SUBSTITUTE(SUBSTITUTE(SUBSTITUTE(SUBSTITUTE(SUBSTITUTE(A133,"""",""), "“", ""),  "”", ""), ".", ""), "–", ""), "‘", "")</f>
        <v>Give me a break! Give me a break!</v>
      </c>
      <c r="C133" s="2" t="s">
        <v>637</v>
      </c>
      <c r="D133" s="3" t="str">
        <f>GetFirstLettersOfAcronym(B133)</f>
        <v>GmabGmab</v>
      </c>
      <c r="E133" s="3" t="str">
        <f xml:space="preserve"> CONCATENATE("map.add(new MatchingMnemonic(", CHAR(34), D133,  CHAR(34), ", ", "new MatchingMnemonicDetail(", CHAR(34), B133, CHAR(34), ", ", CHAR(34), C133, CHAR(34),")));")</f>
        <v>map.add(new MatchingMnemonic("GmabGmab", new MatchingMnemonicDetail("Give me a break! Give me a break!", "Kit-Kat Bar")));</v>
      </c>
    </row>
    <row r="134" spans="1:5" x14ac:dyDescent="0.25">
      <c r="A134" s="2" t="s">
        <v>446</v>
      </c>
      <c r="B134" s="2" t="str">
        <f>SUBSTITUTE(SUBSTITUTE(SUBSTITUTE(SUBSTITUTE(SUBSTITUTE(SUBSTITUTE(A134,"""",""), "“", ""),  "”", ""), ".", ""), "–", ""), "‘", "")</f>
        <v>Get out there</v>
      </c>
      <c r="C134" s="2" t="s">
        <v>447</v>
      </c>
      <c r="D134" s="3" t="str">
        <f>GetFirstLettersOfAcronym(B134)</f>
        <v>Got</v>
      </c>
      <c r="E134" s="3" t="str">
        <f xml:space="preserve"> CONCATENATE("map.add(new MatchingMnemonic(", CHAR(34), D134,  CHAR(34), ", ", "new MatchingMnemonicDetail(", CHAR(34), B134, CHAR(34), ", ", CHAR(34), C134, CHAR(34),")));")</f>
        <v>map.add(new MatchingMnemonic("Got", new MatchingMnemonicDetail("Get out there", "Royal Caribbean Cruise Lines")));</v>
      </c>
    </row>
    <row r="135" spans="1:5" x14ac:dyDescent="0.25">
      <c r="A135" t="s">
        <v>764</v>
      </c>
      <c r="B135" s="2" t="str">
        <f>SUBSTITUTE(SUBSTITUTE(SUBSTITUTE(SUBSTITUTE(SUBSTITUTE(SUBSTITUTE(TRIM(A135),"""",""), "“", ""),  "”", ""), ".", ""), "–", ""), "‘", "")</f>
        <v>Grace Space Pace</v>
      </c>
      <c r="C135" t="s">
        <v>264</v>
      </c>
      <c r="D135" s="3" t="str">
        <f>GetFirstLettersOfAcronym(B135)</f>
        <v>GSP</v>
      </c>
      <c r="E135" s="3" t="str">
        <f xml:space="preserve"> CONCATENATE("map.add(new MatchingMnemonic(", CHAR(34), D135,  CHAR(34), ", ", "new MatchingMnemonicDetail(", CHAR(34), B135, CHAR(34), ", ", CHAR(34), C135, CHAR(34),")));")</f>
        <v>map.add(new MatchingMnemonic("GSP", new MatchingMnemonicDetail("Grace Space Pace", "Jaguar")));</v>
      </c>
    </row>
    <row r="136" spans="1:5" x14ac:dyDescent="0.25">
      <c r="A136" s="2" t="s">
        <v>516</v>
      </c>
      <c r="B136" s="2" t="str">
        <f>SUBSTITUTE(SUBSTITUTE(SUBSTITUTE(SUBSTITUTE(SUBSTITUTE(SUBSTITUTE(A136,"""",""), "“", ""),  "”", ""), ".", ""), "–", ""), "‘", "")</f>
        <v>Get the feeling</v>
      </c>
      <c r="C136" s="2" t="s">
        <v>517</v>
      </c>
      <c r="D136" s="3" t="str">
        <f>GetFirstLettersOfAcronym(B136)</f>
        <v>Gtf</v>
      </c>
      <c r="E136" s="3" t="str">
        <f xml:space="preserve"> CONCATENATE("map.add(new MatchingMnemonic(", CHAR(34), D136,  CHAR(34), ", ", "new MatchingMnemonicDetail(", CHAR(34), B136, CHAR(34), ", ", CHAR(34), C136, CHAR(34),")));")</f>
        <v>map.add(new MatchingMnemonic("Gtf", new MatchingMnemonicDetail("Get the feeling", "Toyota")));</v>
      </c>
    </row>
    <row r="137" spans="1:5" x14ac:dyDescent="0.25">
      <c r="A137" s="2" t="s">
        <v>177</v>
      </c>
      <c r="B137" s="2" t="str">
        <f>SUBSTITUTE(SUBSTITUTE(SUBSTITUTE(SUBSTITUTE(SUBSTITUTE(SUBSTITUTE(A137,"""",""), "“", ""),  "”", ""), ".", ""), "–", ""), "‘", "")</f>
        <v>Good taste is easy to recognize</v>
      </c>
      <c r="C137" s="2" t="s">
        <v>178</v>
      </c>
      <c r="D137" s="3" t="str">
        <f>GetFirstLettersOfAcronym(B137)</f>
        <v>Gtietr</v>
      </c>
      <c r="E137" s="3" t="str">
        <f xml:space="preserve"> CONCATENATE("map.add(new MatchingMnemonic(", CHAR(34), D137,  CHAR(34), ", ", "new MatchingMnemonicDetail(", CHAR(34), B137, CHAR(34), ", ", CHAR(34), C137, CHAR(34),")));")</f>
        <v>map.add(new MatchingMnemonic("Gtietr", new MatchingMnemonicDetail("Good taste is easy to recognize", "Fancy Feast")));</v>
      </c>
    </row>
    <row r="138" spans="1:5" x14ac:dyDescent="0.25">
      <c r="A138" s="4" t="s">
        <v>394</v>
      </c>
      <c r="B138" s="2" t="str">
        <f>SUBSTITUTE(SUBSTITUTE(SUBSTITUTE(SUBSTITUTE(SUBSTITUTE(SUBSTITUTE(A138,"""",""), "“", ""),  "”", ""), ".", ""), "–", ""), "‘", "")</f>
        <v>Grab the Southwest by the bottle</v>
      </c>
      <c r="C138" s="4" t="s">
        <v>395</v>
      </c>
      <c r="D138" s="3" t="str">
        <f>GetFirstLettersOfAcronym(B138)</f>
        <v>GtSbtb</v>
      </c>
      <c r="E138" s="3" t="str">
        <f xml:space="preserve"> CONCATENATE("map.add(new MatchingMnemonic(", CHAR(34), D138,  CHAR(34), ", ", "new MatchingMnemonicDetail(", CHAR(34), B138, CHAR(34), ", ", CHAR(34), C138, CHAR(34),")));")</f>
        <v>map.add(new MatchingMnemonic("GtSbtb", new MatchingMnemonicDetail("Grab the Southwest by the bottle", "Pace Picante Sauce")));</v>
      </c>
    </row>
    <row r="139" spans="1:5" x14ac:dyDescent="0.25">
      <c r="A139" s="4" t="s">
        <v>311</v>
      </c>
      <c r="B139" s="2" t="str">
        <f>SUBSTITUTE(SUBSTITUTE(SUBSTITUTE(SUBSTITUTE(SUBSTITUTE(SUBSTITUTE(A139,"""",""), "“", ""),  "”", ""), ".", ""), "–", ""), "‘", "")</f>
        <v>Good to the last drop</v>
      </c>
      <c r="C139" s="4" t="s">
        <v>312</v>
      </c>
      <c r="D139" s="3" t="str">
        <f>GetFirstLettersOfAcronym(B139)</f>
        <v>Gttld</v>
      </c>
      <c r="E139" s="3" t="str">
        <f xml:space="preserve"> CONCATENATE("map.add(new MatchingMnemonic(", CHAR(34), D139,  CHAR(34), ", ", "new MatchingMnemonicDetail(", CHAR(34), B139, CHAR(34), ", ", CHAR(34), C139, CHAR(34),")));")</f>
        <v>map.add(new MatchingMnemonic("Gttld", new MatchingMnemonicDetail("Good to the last drop", "Maxwell House")));</v>
      </c>
    </row>
    <row r="140" spans="1:5" x14ac:dyDescent="0.25">
      <c r="A140" t="s">
        <v>874</v>
      </c>
      <c r="B140" s="2" t="str">
        <f>SUBSTITUTE(SUBSTITUTE(SUBSTITUTE(SUBSTITUTE(SUBSTITUTE(SUBSTITUTE(TRIM(A140),"""",""), "“", ""),  "”", ""), ".", ""), "–", ""), "‘", "")</f>
        <v>Go to work on an egg</v>
      </c>
      <c r="C140" t="s">
        <v>789</v>
      </c>
      <c r="D140" s="3" t="str">
        <f>GetFirstLettersOfAcronym(B140)</f>
        <v>Gtwoae</v>
      </c>
      <c r="E140" s="3" t="str">
        <f xml:space="preserve"> CONCATENATE("map.add(new MatchingMnemonic(", CHAR(34), D140,  CHAR(34), ", ", "new MatchingMnemonicDetail(", CHAR(34), B140, CHAR(34), ", ", CHAR(34), C140, CHAR(34),")));")</f>
        <v>map.add(new MatchingMnemonic("Gtwoae", new MatchingMnemonicDetail("Go to work on an egg", "Egg Marketing Board")));</v>
      </c>
    </row>
    <row r="141" spans="1:5" x14ac:dyDescent="0.25">
      <c r="A141" t="s">
        <v>873</v>
      </c>
      <c r="B141" s="2" t="str">
        <f>SUBSTITUTE(SUBSTITUTE(SUBSTITUTE(SUBSTITUTE(SUBSTITUTE(SUBSTITUTE(TRIM(A141),"""",""), "“", ""),  "”", ""), ".", ""), "–", ""), "‘", "")</f>
        <v>Give us 20 minutes and we'll give you the world</v>
      </c>
      <c r="C141" t="s">
        <v>788</v>
      </c>
      <c r="D141" s="3" t="str">
        <f>GetFirstLettersOfAcronym(B141)</f>
        <v>Gu2mawgytw</v>
      </c>
      <c r="E141" s="3" t="str">
        <f xml:space="preserve"> CONCATENATE("map.add(new MatchingMnemonic(", CHAR(34), D141,  CHAR(34), ", ", "new MatchingMnemonicDetail(", CHAR(34), B141, CHAR(34), ", ", CHAR(34), C141, CHAR(34),")));")</f>
        <v>map.add(new MatchingMnemonic("Gu2mawgytw", new MatchingMnemonicDetail("Give us 20 minutes and we'll give you the world", "WINS Radio, New York")));</v>
      </c>
    </row>
    <row r="142" spans="1:5" x14ac:dyDescent="0.25">
      <c r="A142" s="4" t="s">
        <v>99</v>
      </c>
      <c r="B142" s="2" t="str">
        <f>SUBSTITUTE(SUBSTITUTE(SUBSTITUTE(SUBSTITUTE(SUBSTITUTE(SUBSTITUTE(A142,"""",""), "“", ""),  "”", ""), ".", ""), "–", ""), "‘", "")</f>
        <v>Get your own box</v>
      </c>
      <c r="C142" s="4" t="s">
        <v>100</v>
      </c>
      <c r="D142" s="3" t="str">
        <f>GetFirstLettersOfAcronym(B142)</f>
        <v>Gyob</v>
      </c>
      <c r="E142" s="3" t="str">
        <f xml:space="preserve"> CONCATENATE("map.add(new MatchingMnemonic(", CHAR(34), D142,  CHAR(34), ", ", "new MatchingMnemonicDetail(", CHAR(34), B142, CHAR(34), ", ", CHAR(34), C142, CHAR(34),")));")</f>
        <v>map.add(new MatchingMnemonic("Gyob", new MatchingMnemonicDetail("Get your own box", "Cheez-It")));</v>
      </c>
    </row>
    <row r="143" spans="1:5" x14ac:dyDescent="0.25">
      <c r="A143" t="s">
        <v>814</v>
      </c>
      <c r="B143" s="2" t="str">
        <f>SUBSTITUTE(SUBSTITUTE(SUBSTITUTE(SUBSTITUTE(SUBSTITUTE(SUBSTITUTE(TRIM(A143),"""",""), "“", ""),  "”", ""), ".", ""), "–", ""), "‘", "")</f>
        <v>Have a break, have a Kitkat</v>
      </c>
      <c r="C143" t="s">
        <v>912</v>
      </c>
      <c r="D143" s="3" t="str">
        <f>GetFirstLettersOfAcronym(B143)</f>
        <v>HabhaK</v>
      </c>
      <c r="E143" s="3" t="str">
        <f xml:space="preserve"> CONCATENATE("map.add(new MatchingMnemonic(", CHAR(34), D143,  CHAR(34), ", ", "new MatchingMnemonicDetail(", CHAR(34), B143, CHAR(34), ", ", CHAR(34), C143, CHAR(34),")));")</f>
        <v>map.add(new MatchingMnemonic("HabhaK", new MatchingMnemonicDetail("Have a break, have a Kitkat", "Kit Kat")));</v>
      </c>
    </row>
    <row r="144" spans="1:5" x14ac:dyDescent="0.25">
      <c r="A144" s="2" t="s">
        <v>126</v>
      </c>
      <c r="B144" s="2" t="str">
        <f>SUBSTITUTE(SUBSTITUTE(SUBSTITUTE(SUBSTITUTE(SUBSTITUTE(SUBSTITUTE(A144,"""",""), "“", ""),  "”", ""), ".", ""), "–", ""), "‘", "")</f>
        <v>Have a coke and smile</v>
      </c>
      <c r="C144" s="2" t="s">
        <v>124</v>
      </c>
      <c r="D144" s="3" t="str">
        <f>GetFirstLettersOfAcronym(B144)</f>
        <v>Hacas</v>
      </c>
      <c r="E144" s="3" t="str">
        <f xml:space="preserve"> CONCATENATE("map.add(new MatchingMnemonic(", CHAR(34), D144,  CHAR(34), ", ", "new MatchingMnemonicDetail(", CHAR(34), B144, CHAR(34), ", ", CHAR(34), C144, CHAR(34),")));")</f>
        <v>map.add(new MatchingMnemonic("Hacas", new MatchingMnemonicDetail("Have a coke and smile", "Coca-Cola")));</v>
      </c>
    </row>
    <row r="145" spans="1:5" x14ac:dyDescent="0.25">
      <c r="A145" t="s">
        <v>845</v>
      </c>
      <c r="B145" s="2" t="str">
        <f>SUBSTITUTE(SUBSTITUTE(SUBSTITUTE(SUBSTITUTE(SUBSTITUTE(SUBSTITUTE(TRIM(A145),"""",""), "“", ""),  "”", ""), ".", ""), "–", ""), "‘", "")</f>
        <v>Hello Boys</v>
      </c>
      <c r="C145" t="s">
        <v>878</v>
      </c>
      <c r="D145" s="3" t="str">
        <f>GetFirstLettersOfAcronym(B145)</f>
        <v>HB</v>
      </c>
      <c r="E145" s="3" t="str">
        <f xml:space="preserve"> CONCATENATE("map.add(new MatchingMnemonic(", CHAR(34), D145,  CHAR(34), ", ", "new MatchingMnemonicDetail(", CHAR(34), B145, CHAR(34), ", ", CHAR(34), C145, CHAR(34),")));")</f>
        <v>map.add(new MatchingMnemonic("HB", new MatchingMnemonicDetail("Hello Boys", "Wonderbra")));</v>
      </c>
    </row>
    <row r="146" spans="1:5" x14ac:dyDescent="0.25">
      <c r="A146" t="s">
        <v>805</v>
      </c>
      <c r="B146" s="2" t="str">
        <f>SUBSTITUTE(SUBSTITUTE(SUBSTITUTE(SUBSTITUTE(SUBSTITUTE(SUBSTITUTE(TRIM(A146),"""",""), "“", ""),  "”", ""), ".", ""), "–", ""), "‘", "")</f>
        <v>Hand built by robots</v>
      </c>
      <c r="C146" t="s">
        <v>904</v>
      </c>
      <c r="D146" s="3" t="str">
        <f>GetFirstLettersOfAcronym(B146)</f>
        <v>Hbbr</v>
      </c>
      <c r="E146" s="3" t="str">
        <f xml:space="preserve"> CONCATENATE("map.add(new MatchingMnemonic(", CHAR(34), D146,  CHAR(34), ", ", "new MatchingMnemonicDetail(", CHAR(34), B146, CHAR(34), ", ", CHAR(34), C146, CHAR(34),")));")</f>
        <v>map.add(new MatchingMnemonic("Hbbr", new MatchingMnemonicDetail("Hand built by robots", "Fiat Strada")));</v>
      </c>
    </row>
    <row r="147" spans="1:5" x14ac:dyDescent="0.25">
      <c r="A147" s="2" t="s">
        <v>133</v>
      </c>
      <c r="B147" s="2" t="str">
        <f>SUBSTITUTE(SUBSTITUTE(SUBSTITUTE(SUBSTITUTE(SUBSTITUTE(SUBSTITUTE(A147,"""",""), "“", ""),  "”", ""), ".", ""), "–", ""), "‘", "")</f>
        <v>Healthy, beautiful smiles for life</v>
      </c>
      <c r="C147" s="2" t="s">
        <v>134</v>
      </c>
      <c r="D147" s="3" t="str">
        <f>GetFirstLettersOfAcronym(B147)</f>
        <v>Hbsfl</v>
      </c>
      <c r="E147" s="3" t="str">
        <f xml:space="preserve"> CONCATENATE("map.add(new MatchingMnemonic(", CHAR(34), D147,  CHAR(34), ", ", "new MatchingMnemonicDetail(", CHAR(34), B147, CHAR(34), ", ", CHAR(34), C147, CHAR(34),")));")</f>
        <v>map.add(new MatchingMnemonic("Hbsfl", new MatchingMnemonicDetail("Healthy, beautiful smiles for life", "Crest")));</v>
      </c>
    </row>
    <row r="148" spans="1:5" x14ac:dyDescent="0.25">
      <c r="A148" s="4" t="s">
        <v>687</v>
      </c>
      <c r="B148" s="2" t="str">
        <f>SUBSTITUTE(SUBSTITUTE(SUBSTITUTE(SUBSTITUTE(SUBSTITUTE(SUBSTITUTE(A148,"""",""), "“", ""),  "”", ""), ".", ""), "–", ""), "‘", "")</f>
        <v>How do you feed a hungry man?</v>
      </c>
      <c r="C148" s="4" t="s">
        <v>688</v>
      </c>
      <c r="D148" s="3" t="str">
        <f>GetFirstLettersOfAcronym(B148)</f>
        <v>Hdyfahm</v>
      </c>
      <c r="E148" s="3" t="str">
        <f xml:space="preserve"> CONCATENATE("map.add(new MatchingMnemonic(", CHAR(34), D148,  CHAR(34), ", ", "new MatchingMnemonicDetail(", CHAR(34), B148, CHAR(34), ", ", CHAR(34), C148, CHAR(34),")));")</f>
        <v>map.add(new MatchingMnemonic("Hdyfahm", new MatchingMnemonicDetail("How do you feed a hungry man?", "Swanson Hungry-Man")));</v>
      </c>
    </row>
    <row r="149" spans="1:5" x14ac:dyDescent="0.25">
      <c r="A149" s="4" t="s">
        <v>444</v>
      </c>
      <c r="B149" s="2" t="str">
        <f>SUBSTITUTE(SUBSTITUTE(SUBSTITUTE(SUBSTITUTE(SUBSTITUTE(SUBSTITUTE(A149,"""",""), "“", ""),  "”", ""), ".", ""), "–", ""), "‘", "")</f>
        <v>How do you spell relief? R-O-L-A-I-D-S</v>
      </c>
      <c r="C149" s="4" t="s">
        <v>445</v>
      </c>
      <c r="D149" s="3" t="str">
        <f>GetFirstLettersOfAcronym(B149)</f>
        <v>HdysrR</v>
      </c>
      <c r="E149" s="3" t="str">
        <f xml:space="preserve"> CONCATENATE("map.add(new MatchingMnemonic(", CHAR(34), D149,  CHAR(34), ", ", "new MatchingMnemonicDetail(", CHAR(34), B149, CHAR(34), ", ", CHAR(34), C149, CHAR(34),")));")</f>
        <v>map.add(new MatchingMnemonic("HdysrR", new MatchingMnemonicDetail("How do you spell relief? R-O-L-A-I-D-S", "Rolaids")));</v>
      </c>
    </row>
    <row r="150" spans="1:5" x14ac:dyDescent="0.25">
      <c r="A150" s="2" t="s">
        <v>502</v>
      </c>
      <c r="B150" s="2" t="str">
        <f>SUBSTITUTE(SUBSTITUTE(SUBSTITUTE(SUBSTITUTE(SUBSTITUTE(SUBSTITUTE(A150,"""",""), "“", ""),  "”", ""), ".", ""), "–", ""), "‘", "")</f>
        <v>Head for the border</v>
      </c>
      <c r="C150" s="2" t="s">
        <v>501</v>
      </c>
      <c r="D150" s="3" t="str">
        <f>GetFirstLettersOfAcronym(B150)</f>
        <v>Hftb</v>
      </c>
      <c r="E150" s="3" t="str">
        <f xml:space="preserve"> CONCATENATE("map.add(new MatchingMnemonic(", CHAR(34), D150,  CHAR(34), ", ", "new MatchingMnemonicDetail(", CHAR(34), B150, CHAR(34), ", ", CHAR(34), C150, CHAR(34),")));")</f>
        <v>map.add(new MatchingMnemonic("Hftb", new MatchingMnemonicDetail("Head for the border", "Taco Bell")));</v>
      </c>
    </row>
    <row r="151" spans="1:5" x14ac:dyDescent="0.25">
      <c r="A151" t="s">
        <v>859</v>
      </c>
      <c r="B151" s="2" t="str">
        <f>SUBSTITUTE(SUBSTITUTE(SUBSTITUTE(SUBSTITUTE(SUBSTITUTE(SUBSTITUTE(TRIM(A151),"""",""), "“", ""),  "”", ""), ".", ""), "–", ""), "‘", "")</f>
        <v>Hungry? Grab a Snickers</v>
      </c>
      <c r="C151" t="s">
        <v>934</v>
      </c>
      <c r="D151" s="3" t="str">
        <f>GetFirstLettersOfAcronym(B151)</f>
        <v>HGaS</v>
      </c>
      <c r="E151" s="3" t="str">
        <f xml:space="preserve"> CONCATENATE("map.add(new MatchingMnemonic(", CHAR(34), D151,  CHAR(34), ", ", "new MatchingMnemonicDetail(", CHAR(34), B151, CHAR(34), ", ", CHAR(34), C151, CHAR(34),")));")</f>
        <v>map.add(new MatchingMnemonic("HGaS", new MatchingMnemonicDetail("Hungry? Grab a Snickers", "Snickers")));</v>
      </c>
    </row>
    <row r="152" spans="1:5" x14ac:dyDescent="0.25">
      <c r="A152" s="2" t="s">
        <v>234</v>
      </c>
      <c r="B152" s="2" t="str">
        <f>SUBSTITUTE(SUBSTITUTE(SUBSTITUTE(SUBSTITUTE(SUBSTITUTE(SUBSTITUTE(A152,"""",""), "“", ""),  "”", ""), ".", ""), "–", ""), "‘", "")</f>
        <v>Hey! How about a nice Hawaiian Punch?</v>
      </c>
      <c r="C152" s="2" t="s">
        <v>235</v>
      </c>
      <c r="D152" s="3" t="str">
        <f>GetFirstLettersOfAcronym(B152)</f>
        <v>HHaanHP</v>
      </c>
      <c r="E152" s="3" t="str">
        <f xml:space="preserve"> CONCATENATE("map.add(new MatchingMnemonic(", CHAR(34), D152,  CHAR(34), ", ", "new MatchingMnemonicDetail(", CHAR(34), B152, CHAR(34), ", ", CHAR(34), C152, CHAR(34),")));")</f>
        <v>map.add(new MatchingMnemonic("HHaanHP", new MatchingMnemonicDetail("Hey! How about a nice Hawaiian Punch?", "Hawaiian Punch")));</v>
      </c>
    </row>
    <row r="153" spans="1:5" x14ac:dyDescent="0.25">
      <c r="A153" s="5" t="s">
        <v>877</v>
      </c>
      <c r="B153" s="2" t="str">
        <f>SUBSTITUTE(SUBSTITUTE(SUBSTITUTE(SUBSTITUTE(SUBSTITUTE(SUBSTITUTE(TRIM(A153),"""",""), "“", ""),  "”", ""), ".", ""), "–", ""), "‘", "")</f>
        <v>Happiness is a cigar called Hamlet</v>
      </c>
      <c r="C153" t="s">
        <v>791</v>
      </c>
      <c r="D153" s="3" t="str">
        <f>GetFirstLettersOfAcronym(B153)</f>
        <v>HiaccH</v>
      </c>
      <c r="E153" s="3" t="str">
        <f xml:space="preserve"> CONCATENATE("map.add(new MatchingMnemonic(", CHAR(34), D153,  CHAR(34), ", ", "new MatchingMnemonicDetail(", CHAR(34), B153, CHAR(34), ", ", CHAR(34), C153, CHAR(34),")));")</f>
        <v>map.add(new MatchingMnemonic("HiaccH", new MatchingMnemonicDetail("Happiness is a cigar called Hamlet", "Hamlet")));</v>
      </c>
    </row>
    <row r="154" spans="1:5" x14ac:dyDescent="0.25">
      <c r="A154" t="s">
        <v>797</v>
      </c>
      <c r="B154" s="2" t="str">
        <f>SUBSTITUTE(SUBSTITUTE(SUBSTITUTE(SUBSTITUTE(SUBSTITUTE(SUBSTITUTE(TRIM(A154),"""",""), "“", ""),  "”", ""), ".", ""), "–", ""), "‘", "")</f>
        <v>Have it your way</v>
      </c>
      <c r="C154" t="s">
        <v>895</v>
      </c>
      <c r="D154" s="3" t="str">
        <f>GetFirstLettersOfAcronym(B154)</f>
        <v>Hiyw</v>
      </c>
      <c r="E154" s="3" t="str">
        <f xml:space="preserve"> CONCATENATE("map.add(new MatchingMnemonic(", CHAR(34), D154,  CHAR(34), ", ", "new MatchingMnemonicDetail(", CHAR(34), B154, CHAR(34), ", ", CHAR(34), C154, CHAR(34),")));")</f>
        <v>map.add(new MatchingMnemonic("Hiyw", new MatchingMnemonicDetail("Have it your way", "Burder King")));</v>
      </c>
    </row>
    <row r="155" spans="1:5" x14ac:dyDescent="0.25">
      <c r="A155" s="2" t="s">
        <v>293</v>
      </c>
      <c r="B155" s="2" t="str">
        <f>SUBSTITUTE(SUBSTITUTE(SUBSTITUTE(SUBSTITUTE(SUBSTITUTE(SUBSTITUTE(A155,"""",""), "“", ""),  "”", ""), ".", ""), "–", ""), "‘", "")</f>
        <v>Hey, Mikeyhe likes it!</v>
      </c>
      <c r="C155" s="2" t="s">
        <v>294</v>
      </c>
      <c r="D155" s="3" t="str">
        <f>GetFirstLettersOfAcronym(B155)</f>
        <v>HMli</v>
      </c>
      <c r="E155" s="3" t="str">
        <f xml:space="preserve"> CONCATENATE("map.add(new MatchingMnemonic(", CHAR(34), D155,  CHAR(34), ", ", "new MatchingMnemonicDetail(", CHAR(34), B155, CHAR(34), ", ", CHAR(34), C155, CHAR(34),")));")</f>
        <v>map.add(new MatchingMnemonic("HMli", new MatchingMnemonicDetail("Hey, Mikeyhe likes it!", "Life Cereal")));</v>
      </c>
    </row>
    <row r="156" spans="1:5" x14ac:dyDescent="0.25">
      <c r="A156" s="2" t="s">
        <v>553</v>
      </c>
      <c r="B156" s="2" t="str">
        <f>SUBSTITUTE(SUBSTITUTE(SUBSTITUTE(SUBSTITUTE(SUBSTITUTE(SUBSTITUTE(A156,"""",""), "“", ""),  "”", ""), ".", ""), "–", ""), "‘", "")</f>
        <v>His master’s voice</v>
      </c>
      <c r="C156" s="2" t="s">
        <v>554</v>
      </c>
      <c r="D156" s="3" t="str">
        <f>GetFirstLettersOfAcronym(B156)</f>
        <v>Hmv</v>
      </c>
      <c r="E156" s="3" t="str">
        <f xml:space="preserve"> CONCATENATE("map.add(new MatchingMnemonic(", CHAR(34), D156,  CHAR(34), ", ", "new MatchingMnemonicDetail(", CHAR(34), B156, CHAR(34), ", ", CHAR(34), C156, CHAR(34),")));")</f>
        <v>map.add(new MatchingMnemonic("Hmv", new MatchingMnemonicDetail("His master’s voice", "Victor Talking Machine Co.")));</v>
      </c>
    </row>
    <row r="157" spans="1:5" x14ac:dyDescent="0.25">
      <c r="A157" s="2" t="s">
        <v>238</v>
      </c>
      <c r="B157" s="2" t="str">
        <f>SUBSTITUTE(SUBSTITUTE(SUBSTITUTE(SUBSTITUTE(SUBSTITUTE(SUBSTITUTE(A157,"""",""), "“", ""),  "”", ""), ".", ""), "–", ""), "‘", "")</f>
        <v>Hertz puts you in the driver’s seat</v>
      </c>
      <c r="C157" s="2" t="s">
        <v>239</v>
      </c>
      <c r="D157" s="3" t="str">
        <f>GetFirstLettersOfAcronym(B157)</f>
        <v>Hpyitds</v>
      </c>
      <c r="E157" s="3" t="str">
        <f xml:space="preserve"> CONCATENATE("map.add(new MatchingMnemonic(", CHAR(34), D157,  CHAR(34), ", ", "new MatchingMnemonicDetail(", CHAR(34), B157, CHAR(34), ", ", CHAR(34), C157, CHAR(34),")));")</f>
        <v>map.add(new MatchingMnemonic("Hpyitds", new MatchingMnemonicDetail("Hertz puts you in the driver’s seat", "Hertz")));</v>
      </c>
    </row>
    <row r="158" spans="1:5" x14ac:dyDescent="0.25">
      <c r="A158" t="s">
        <v>808</v>
      </c>
      <c r="B158" s="2" t="str">
        <f>SUBSTITUTE(SUBSTITUTE(SUBSTITUTE(SUBSTITUTE(SUBSTITUTE(SUBSTITUTE(TRIM(A158),"""",""), "“", ""),  "”", ""), ".", ""), "–", ""), "‘", "")</f>
        <v>Heineken refreshes the parts other beers cannot reach</v>
      </c>
      <c r="C158" t="s">
        <v>792</v>
      </c>
      <c r="D158" s="3" t="str">
        <f>GetFirstLettersOfAcronym(B158)</f>
        <v>Hrtpobcr</v>
      </c>
      <c r="E158" s="3" t="str">
        <f xml:space="preserve"> CONCATENATE("map.add(new MatchingMnemonic(", CHAR(34), D158,  CHAR(34), ", ", "new MatchingMnemonicDetail(", CHAR(34), B158, CHAR(34), ", ", CHAR(34), C158, CHAR(34),")));")</f>
        <v>map.add(new MatchingMnemonic("Hrtpobcr", new MatchingMnemonicDetail("Heineken refreshes the parts other beers cannot reach", "Heineken")));</v>
      </c>
    </row>
    <row r="159" spans="1:5" x14ac:dyDescent="0.25">
      <c r="A159" s="2" t="s">
        <v>45</v>
      </c>
      <c r="B159" s="2" t="str">
        <f>SUBSTITUTE(SUBSTITUTE(SUBSTITUTE(SUBSTITUTE(SUBSTITUTE(SUBSTITUTE(A159,"""",""), "“", ""),  "”", ""), ".", ""), "–", ""), "‘", "")</f>
        <v>Higher standards</v>
      </c>
      <c r="C159" s="2" t="s">
        <v>46</v>
      </c>
      <c r="D159" s="3" t="str">
        <f>GetFirstLettersOfAcronym(B159)</f>
        <v>Hs</v>
      </c>
      <c r="E159" s="3" t="str">
        <f xml:space="preserve"> CONCATENATE("map.add(new MatchingMnemonic(", CHAR(34), D159,  CHAR(34), ", ", "new MatchingMnemonicDetail(", CHAR(34), B159, CHAR(34), ", ", CHAR(34), C159, CHAR(34),")));")</f>
        <v>map.add(new MatchingMnemonic("Hs", new MatchingMnemonicDetail("Higher standards", "Bank of America")));</v>
      </c>
    </row>
    <row r="160" spans="1:5" ht="28.5" x14ac:dyDescent="0.25">
      <c r="A160" s="2" t="s">
        <v>66</v>
      </c>
      <c r="B160" s="2" t="str">
        <f>SUBSTITUTE(SUBSTITUTE(SUBSTITUTE(SUBSTITUTE(SUBSTITUTE(SUBSTITUTE(A160,"""",""), "“", ""),  "”", ""), ".", ""), "–", ""), "‘", "")</f>
        <v>Hope, triumph, and the miracle of medicine</v>
      </c>
      <c r="C160" s="2" t="s">
        <v>67</v>
      </c>
      <c r="D160" s="3" t="str">
        <f>GetFirstLettersOfAcronym(B160)</f>
        <v>Htatmom</v>
      </c>
      <c r="E160" s="3" t="str">
        <f xml:space="preserve"> CONCATENATE("map.add(new MatchingMnemonic(", CHAR(34), D160,  CHAR(34), ", ", "new MatchingMnemonicDetail(", CHAR(34), B160, CHAR(34), ", ", CHAR(34), C160, CHAR(34),")));")</f>
        <v>map.add(new MatchingMnemonic("Htatmom", new MatchingMnemonicDetail("Hope, triumph, and the miracle of medicine", "Bristol-Myers Squibb Co.")));</v>
      </c>
    </row>
    <row r="161" spans="1:5" ht="28.5" x14ac:dyDescent="0.25">
      <c r="A161" s="4" t="s">
        <v>642</v>
      </c>
      <c r="B161" s="2" t="str">
        <f>SUBSTITUTE(SUBSTITUTE(SUBSTITUTE(SUBSTITUTE(SUBSTITUTE(SUBSTITUTE(A161,"""",""), "“", ""),  "”", ""), ".", ""), "–", ""), "‘", "")</f>
        <v>Here’s to good friendsTonight, tonight, let it be Lowenbrau</v>
      </c>
      <c r="C161" s="4" t="s">
        <v>643</v>
      </c>
      <c r="D161" s="3" t="str">
        <f>GetFirstLettersOfAcronym(B161)</f>
        <v>HtgftlibL</v>
      </c>
      <c r="E161" s="3" t="str">
        <f xml:space="preserve"> CONCATENATE("map.add(new MatchingMnemonic(", CHAR(34), D161,  CHAR(34), ", ", "new MatchingMnemonicDetail(", CHAR(34), B161, CHAR(34), ", ", CHAR(34), C161, CHAR(34),")));")</f>
        <v>map.add(new MatchingMnemonic("HtgftlibL", new MatchingMnemonicDetail("Here’s to good friendsTonight, tonight, let it be Lowenbrau", "Lowenbrau Beer")));</v>
      </c>
    </row>
    <row r="162" spans="1:5" x14ac:dyDescent="0.25">
      <c r="A162" t="s">
        <v>840</v>
      </c>
      <c r="B162" s="2" t="str">
        <f>SUBSTITUTE(SUBSTITUTE(SUBSTITUTE(SUBSTITUTE(SUBSTITUTE(SUBSTITUTE(TRIM(A162),"""",""), "“", ""),  "”", ""), ".", ""), "–", ""), "‘", "")</f>
        <v>Hello Tosh, gotta Toshiba?</v>
      </c>
      <c r="C162" t="s">
        <v>513</v>
      </c>
      <c r="D162" s="3" t="str">
        <f>GetFirstLettersOfAcronym(B162)</f>
        <v>HTgT</v>
      </c>
      <c r="E162" s="3" t="str">
        <f xml:space="preserve"> CONCATENATE("map.add(new MatchingMnemonic(", CHAR(34), D162,  CHAR(34), ", ", "new MatchingMnemonicDetail(", CHAR(34), B162, CHAR(34), ", ", CHAR(34), C162, CHAR(34),")));")</f>
        <v>map.add(new MatchingMnemonic("HTgT", new MatchingMnemonicDetail("Hello Tosh, gotta Toshiba?", "Toshiba")));</v>
      </c>
    </row>
    <row r="163" spans="1:5" x14ac:dyDescent="0.25">
      <c r="A163" s="2" t="s">
        <v>442</v>
      </c>
      <c r="B163" s="2" t="str">
        <f>SUBSTITUTE(SUBSTITUTE(SUBSTITUTE(SUBSTITUTE(SUBSTITUTE(SUBSTITUTE(A163,"""",""), "“", ""),  "”", ""), ".", ""), "–", ""), "‘", "")</f>
        <v>How well do you share?</v>
      </c>
      <c r="C163" s="2" t="s">
        <v>443</v>
      </c>
      <c r="D163" s="3" t="str">
        <f>GetFirstLettersOfAcronym(B163)</f>
        <v>Hwdys</v>
      </c>
      <c r="E163" s="3" t="str">
        <f xml:space="preserve"> CONCATENATE("map.add(new MatchingMnemonic(", CHAR(34), D163,  CHAR(34), ", ", "new MatchingMnemonicDetail(", CHAR(34), B163, CHAR(34), ", ", CHAR(34), C163, CHAR(34),")));")</f>
        <v>map.add(new MatchingMnemonic("Hwdys", new MatchingMnemonicDetail("How well do you share?", "Ricoh")));</v>
      </c>
    </row>
    <row r="164" spans="1:5" x14ac:dyDescent="0.25">
      <c r="A164" t="s">
        <v>851</v>
      </c>
      <c r="B164" s="2" t="str">
        <f>SUBSTITUTE(SUBSTITUTE(SUBSTITUTE(SUBSTITUTE(SUBSTITUTE(SUBSTITUTE(TRIM(A164),"""",""), "“", ""),  "”", ""), ".", ""), "–", ""), "‘", "")</f>
        <v>Innovation</v>
      </c>
      <c r="C164" t="s">
        <v>893</v>
      </c>
      <c r="D164" s="3" t="str">
        <f>GetFirstLettersOfAcronym(B164)</f>
        <v>I</v>
      </c>
      <c r="E164" s="3" t="str">
        <f xml:space="preserve"> CONCATENATE("map.add(new MatchingMnemonic(", CHAR(34), D164,  CHAR(34), ", ", "new MatchingMnemonicDetail(", CHAR(34), B164, CHAR(34), ", ", CHAR(34), C164, CHAR(34),")));")</f>
        <v>map.add(new MatchingMnemonic("I", new MatchingMnemonicDetail("Innovation", "3M")));</v>
      </c>
    </row>
    <row r="165" spans="1:5" x14ac:dyDescent="0.25">
      <c r="A165" s="2" t="s">
        <v>242</v>
      </c>
      <c r="B165" s="2" t="str">
        <f>SUBSTITUTE(SUBSTITUTE(SUBSTITUTE(SUBSTITUTE(SUBSTITUTE(SUBSTITUTE(A165,"""",""), "“", ""),  "”", ""), ".", ""), "–", ""), "‘", "")</f>
        <v>Invent</v>
      </c>
      <c r="C165" s="2" t="s">
        <v>243</v>
      </c>
      <c r="D165" s="3" t="str">
        <f>GetFirstLettersOfAcronym(B165)</f>
        <v>I</v>
      </c>
      <c r="E165" s="3" t="str">
        <f xml:space="preserve"> CONCATENATE("map.add(new MatchingMnemonic(", CHAR(34), D165,  CHAR(34), ", ", "new MatchingMnemonicDetail(", CHAR(34), B165, CHAR(34), ", ", CHAR(34), C165, CHAR(34),")));")</f>
        <v>map.add(new MatchingMnemonic("I", new MatchingMnemonicDetail("Invent", "Hewlett Packard")));</v>
      </c>
    </row>
    <row r="166" spans="1:5" x14ac:dyDescent="0.25">
      <c r="A166" t="s">
        <v>825</v>
      </c>
      <c r="B166" s="2" t="str">
        <f>SUBSTITUTE(SUBSTITUTE(SUBSTITUTE(SUBSTITUTE(SUBSTITUTE(SUBSTITUTE(TRIM(A166),"""",""), "“", ""),  "”", ""), ".", ""), "–", ""), "‘", "")</f>
        <v>It’s a bit of an animal</v>
      </c>
      <c r="C166" t="s">
        <v>925</v>
      </c>
      <c r="D166" s="3" t="str">
        <f>GetFirstLettersOfAcronym(B166)</f>
        <v>Iaboaa</v>
      </c>
      <c r="E166" s="3" t="str">
        <f xml:space="preserve"> CONCATENATE("map.add(new MatchingMnemonic(", CHAR(34), D166,  CHAR(34), ", ", "new MatchingMnemonicDetail(", CHAR(34), B166, CHAR(34), ", ", CHAR(34), C166, CHAR(34),")));")</f>
        <v>map.add(new MatchingMnemonic("Iaboaa", new MatchingMnemonicDetail("It’s a bit of an animal", "Peperami")));</v>
      </c>
    </row>
    <row r="167" spans="1:5" x14ac:dyDescent="0.25">
      <c r="A167" s="2" t="s">
        <v>226</v>
      </c>
      <c r="B167" s="2" t="str">
        <f>SUBSTITUTE(SUBSTITUTE(SUBSTITUTE(SUBSTITUTE(SUBSTITUTE(SUBSTITUTE(A167,"""",""), "“", ""),  "”", ""), ".", ""), "–", ""), "‘", "")</f>
        <v>It’s a great time to be alive</v>
      </c>
      <c r="C167" s="2" t="s">
        <v>227</v>
      </c>
      <c r="D167" s="3" t="str">
        <f>GetFirstLettersOfAcronym(B167)</f>
        <v>Iagttba</v>
      </c>
      <c r="E167" s="3" t="str">
        <f xml:space="preserve"> CONCATENATE("map.add(new MatchingMnemonic(", CHAR(34), D167,  CHAR(34), ", ", "new MatchingMnemonicDetail(", CHAR(34), B167, CHAR(34), ", ", CHAR(34), C167, CHAR(34),")));")</f>
        <v>map.add(new MatchingMnemonic("Iagttba", new MatchingMnemonicDetail("It’s a great time to be alive", "Guidant")));</v>
      </c>
    </row>
    <row r="168" spans="1:5" x14ac:dyDescent="0.25">
      <c r="A168" t="s">
        <v>828</v>
      </c>
      <c r="B168" s="2" t="str">
        <f>SUBSTITUTE(SUBSTITUTE(SUBSTITUTE(SUBSTITUTE(SUBSTITUTE(SUBSTITUTE(TRIM(A168),"""",""), "“", ""),  "”", ""), ".", ""), "–", ""), "‘", "")</f>
        <v>It’s a lot less bovver than a hover</v>
      </c>
      <c r="C168" t="s">
        <v>929</v>
      </c>
      <c r="D168" s="3" t="str">
        <f>GetFirstLettersOfAcronym(B168)</f>
        <v>Iallbtah</v>
      </c>
      <c r="E168" s="3" t="str">
        <f xml:space="preserve"> CONCATENATE("map.add(new MatchingMnemonic(", CHAR(34), D168,  CHAR(34), ", ", "new MatchingMnemonicDetail(", CHAR(34), B168, CHAR(34), ", ", CHAR(34), C168, CHAR(34),")));")</f>
        <v>map.add(new MatchingMnemonic("Iallbtah", new MatchingMnemonicDetail("It’s a lot less bovver than a hover", "Qualcast Concord")));</v>
      </c>
    </row>
    <row r="169" spans="1:5" ht="28.5" x14ac:dyDescent="0.25">
      <c r="A169" s="4" t="s">
        <v>623</v>
      </c>
      <c r="B169" s="2" t="str">
        <f>SUBSTITUTE(SUBSTITUTE(SUBSTITUTE(SUBSTITUTE(SUBSTITUTE(SUBSTITUTE(A169,"""",""), "“", ""),  "”", ""), ".", ""), "–", ""), "‘", "")</f>
        <v>I’m a pepper, he’s a pepper, she’s a pepper</v>
      </c>
      <c r="C169" s="4" t="s">
        <v>624</v>
      </c>
      <c r="D169" s="3" t="str">
        <f>GetFirstLettersOfAcronym(B169)</f>
        <v>Iaphapsap</v>
      </c>
      <c r="E169" s="3" t="str">
        <f xml:space="preserve"> CONCATENATE("map.add(new MatchingMnemonic(", CHAR(34), D169,  CHAR(34), ", ", "new MatchingMnemonicDetail(", CHAR(34), B169, CHAR(34), ", ", CHAR(34), C169, CHAR(34),")));")</f>
        <v>map.add(new MatchingMnemonic("Iaphapsap", new MatchingMnemonicDetail("I’m a pepper, he’s a pepper, she’s a pepper", "Dr Pepper")));</v>
      </c>
    </row>
    <row r="170" spans="1:5" x14ac:dyDescent="0.25">
      <c r="A170" t="s">
        <v>830</v>
      </c>
      <c r="B170" s="2" t="str">
        <f>SUBSTITUTE(SUBSTITUTE(SUBSTITUTE(SUBSTITUTE(SUBSTITUTE(SUBSTITUTE(TRIM(A170),"""",""), "“", ""),  "”", ""), ".", ""), "–", ""), "‘", "")</f>
        <v>It’s a skoda Honest</v>
      </c>
      <c r="C170" t="s">
        <v>786</v>
      </c>
      <c r="D170" s="3" t="str">
        <f>GetFirstLettersOfAcronym(B170)</f>
        <v>IasH</v>
      </c>
      <c r="E170" s="3" t="str">
        <f xml:space="preserve"> CONCATENATE("map.add(new MatchingMnemonic(", CHAR(34), D170,  CHAR(34), ", ", "new MatchingMnemonicDetail(", CHAR(34), B170, CHAR(34), ", ", CHAR(34), C170, CHAR(34),")));")</f>
        <v>map.add(new MatchingMnemonic("IasH", new MatchingMnemonicDetail("It’s a skoda Honest", "Skoda")));</v>
      </c>
    </row>
    <row r="171" spans="1:5" ht="28.5" x14ac:dyDescent="0.25">
      <c r="A171" s="4" t="s">
        <v>597</v>
      </c>
      <c r="B171" s="2" t="str">
        <f>SUBSTITUTE(SUBSTITUTE(SUBSTITUTE(SUBSTITUTE(SUBSTITUTE(SUBSTITUTE(A171,"""",""), "“", ""),  "”", ""), ".", ""), "–", ""), "‘", "")</f>
        <v>I am stuck on Band-Aids cause Band-Aids stuck on me</v>
      </c>
      <c r="C171" s="4" t="s">
        <v>598</v>
      </c>
      <c r="D171" s="3" t="str">
        <f>GetFirstLettersOfAcronym(B171)</f>
        <v>IasoBcBsom</v>
      </c>
      <c r="E171" s="3" t="str">
        <f xml:space="preserve"> CONCATENATE("map.add(new MatchingMnemonic(", CHAR(34), D171,  CHAR(34), ", ", "new MatchingMnemonicDetail(", CHAR(34), B171, CHAR(34), ", ", CHAR(34), C171, CHAR(34),")));")</f>
        <v>map.add(new MatchingMnemonic("IasoBcBsom", new MatchingMnemonicDetail("I am stuck on Band-Aids cause Band-Aids stuck on me", "Band-Aids")));</v>
      </c>
    </row>
    <row r="172" spans="1:5" x14ac:dyDescent="0.25">
      <c r="A172" s="2" t="s">
        <v>201</v>
      </c>
      <c r="B172" s="2" t="str">
        <f>SUBSTITUTE(SUBSTITUTE(SUBSTITUTE(SUBSTITUTE(SUBSTITUTE(SUBSTITUTE(A172,"""",""), "“", ""),  "”", ""), ".", ""), "–", ""), "‘", "")</f>
        <v>Imagination at work</v>
      </c>
      <c r="C172" s="2" t="s">
        <v>202</v>
      </c>
      <c r="D172" s="3" t="str">
        <f>GetFirstLettersOfAcronym(B172)</f>
        <v>Iaw</v>
      </c>
      <c r="E172" s="3" t="str">
        <f xml:space="preserve"> CONCATENATE("map.add(new MatchingMnemonic(", CHAR(34), D172,  CHAR(34), ", ", "new MatchingMnemonicDetail(", CHAR(34), B172, CHAR(34), ", ", CHAR(34), C172, CHAR(34),")));")</f>
        <v>map.add(new MatchingMnemonic("Iaw", new MatchingMnemonicDetail("Imagination at work", "General Electric")));</v>
      </c>
    </row>
    <row r="173" spans="1:5" x14ac:dyDescent="0.25">
      <c r="A173" t="s">
        <v>848</v>
      </c>
      <c r="B173" s="2" t="str">
        <f>SUBSTITUTE(SUBSTITUTE(SUBSTITUTE(SUBSTITUTE(SUBSTITUTE(SUBSTITUTE(TRIM(A173),"""",""), "“", ""),  "”", ""), ".", ""), "–", ""), "‘", "")</f>
        <v>I am what I am</v>
      </c>
      <c r="C173" t="s">
        <v>931</v>
      </c>
      <c r="D173" s="3" t="str">
        <f>GetFirstLettersOfAcronym(B173)</f>
        <v>IawIa</v>
      </c>
      <c r="E173" s="3" t="str">
        <f xml:space="preserve"> CONCATENATE("map.add(new MatchingMnemonic(", CHAR(34), D173,  CHAR(34), ", ", "new MatchingMnemonicDetail(", CHAR(34), B173, CHAR(34), ", ", CHAR(34), C173, CHAR(34),")));")</f>
        <v>map.add(new MatchingMnemonic("IawIa", new MatchingMnemonicDetail("I am what I am", "Reebok")));</v>
      </c>
    </row>
    <row r="174" spans="1:5" x14ac:dyDescent="0.25">
      <c r="A174" t="s">
        <v>800</v>
      </c>
      <c r="B174" s="2" t="str">
        <f>SUBSTITUTE(SUBSTITUTE(SUBSTITUTE(SUBSTITUTE(SUBSTITUTE(SUBSTITUTE(TRIM(A174),"""",""), "“", ""),  "”", ""), ".", ""), "–", ""), "‘", "")</f>
        <v>I best he drinks Carling’s Black Label</v>
      </c>
      <c r="C174" t="s">
        <v>898</v>
      </c>
      <c r="D174" s="3" t="str">
        <f>GetFirstLettersOfAcronym(B174)</f>
        <v>IbhdCBL</v>
      </c>
      <c r="E174" s="3" t="str">
        <f xml:space="preserve"> CONCATENATE("map.add(new MatchingMnemonic(", CHAR(34), D174,  CHAR(34), ", ", "new MatchingMnemonicDetail(", CHAR(34), B174, CHAR(34), ", ", CHAR(34), C174, CHAR(34),")));")</f>
        <v>map.add(new MatchingMnemonic("IbhdCBL", new MatchingMnemonicDetail("I best he drinks Carling’s Black Label", "Carling Black Label")));</v>
      </c>
    </row>
    <row r="175" spans="1:5" ht="28.5" x14ac:dyDescent="0.25">
      <c r="A175" s="4" t="s">
        <v>613</v>
      </c>
      <c r="B175" s="2" t="str">
        <f>SUBSTITUTE(SUBSTITUTE(SUBSTITUTE(SUBSTITUTE(SUBSTITUTE(SUBSTITUTE(A175,"""",""), "“", ""),  "”", ""), ".", ""), "–", ""), "‘", "")</f>
        <v>I’m Chiquita Banana and I’ve come to say  bananas have to ripen in a certain way</v>
      </c>
      <c r="C175" s="4" t="s">
        <v>614</v>
      </c>
      <c r="D175" s="3" t="str">
        <f>GetFirstLettersOfAcronym(B175)</f>
        <v>ICBaIctsbhtriacw</v>
      </c>
      <c r="E175" s="3" t="str">
        <f xml:space="preserve"> CONCATENATE("map.add(new MatchingMnemonic(", CHAR(34), D175,  CHAR(34), ", ", "new MatchingMnemonicDetail(", CHAR(34), B175, CHAR(34), ", ", CHAR(34), C175, CHAR(34),")));")</f>
        <v>map.add(new MatchingMnemonic("ICBaIctsbhtriacw", new MatchingMnemonicDetail("I’m Chiquita Banana and I’ve come to say  bananas have to ripen in a certain way", "Chiquita Banana")));</v>
      </c>
    </row>
    <row r="176" spans="1:5" x14ac:dyDescent="0.25">
      <c r="A176" s="2" t="s">
        <v>625</v>
      </c>
      <c r="B176" s="2" t="str">
        <f>SUBSTITUTE(SUBSTITUTE(SUBSTITUTE(SUBSTITUTE(SUBSTITUTE(SUBSTITUTE(A176,"""",""), "“", ""),  "”", ""), ".", ""), "–", ""), "‘", "")</f>
        <v>I can bring home the bacon</v>
      </c>
      <c r="C176" s="2" t="s">
        <v>626</v>
      </c>
      <c r="D176" s="3" t="str">
        <f>GetFirstLettersOfAcronym(B176)</f>
        <v>Icbhtb</v>
      </c>
      <c r="E176" s="3" t="str">
        <f xml:space="preserve"> CONCATENATE("map.add(new MatchingMnemonic(", CHAR(34), D176,  CHAR(34), ", ", "new MatchingMnemonicDetail(", CHAR(34), B176, CHAR(34), ", ", CHAR(34), C176, CHAR(34),")));")</f>
        <v>map.add(new MatchingMnemonic("Icbhtb", new MatchingMnemonicDetail("I can bring home the bacon", "Enjoli")));</v>
      </c>
    </row>
    <row r="177" spans="1:5" x14ac:dyDescent="0.25">
      <c r="A177" s="4" t="s">
        <v>10</v>
      </c>
      <c r="B177" s="2" t="str">
        <f>SUBSTITUTE(SUBSTITUTE(SUBSTITUTE(SUBSTITUTE(SUBSTITUTE(SUBSTITUTE(A177,"""",""), "“", ""),  "”", ""), ".", ""), "–", ""), "‘", "")</f>
        <v>I can’t believe I ate the whole thing</v>
      </c>
      <c r="C177" s="4" t="s">
        <v>11</v>
      </c>
      <c r="D177" s="3" t="str">
        <f>GetFirstLettersOfAcronym(B177)</f>
        <v>IcbIatwt</v>
      </c>
      <c r="E177" s="3" t="str">
        <f xml:space="preserve"> CONCATENATE("map.add(new MatchingMnemonic(", CHAR(34), D177,  CHAR(34), ", ", "new MatchingMnemonicDetail(", CHAR(34), B177, CHAR(34), ", ", CHAR(34), C177, CHAR(34),")));")</f>
        <v>map.add(new MatchingMnemonic("IcbIatwt", new MatchingMnemonicDetail("I can’t believe I ate the whole thing", "Alka-Seltzer")));</v>
      </c>
    </row>
    <row r="178" spans="1:5" x14ac:dyDescent="0.25">
      <c r="A178" s="4" t="s">
        <v>548</v>
      </c>
      <c r="B178" s="2" t="str">
        <f>SUBSTITUTE(SUBSTITUTE(SUBSTITUTE(SUBSTITUTE(SUBSTITUTE(SUBSTITUTE(A178,"""",""), "“", ""),  "”", ""), ".", ""), "–", ""), "‘", "")</f>
        <v>I coulda had a V-8!</v>
      </c>
      <c r="C178" s="4" t="s">
        <v>549</v>
      </c>
      <c r="D178" s="3" t="str">
        <f>GetFirstLettersOfAcronym(B178)</f>
        <v>IchaV</v>
      </c>
      <c r="E178" s="3" t="str">
        <f xml:space="preserve"> CONCATENATE("map.add(new MatchingMnemonic(", CHAR(34), D178,  CHAR(34), ", ", "new MatchingMnemonicDetail(", CHAR(34), B178, CHAR(34), ", ", CHAR(34), C178, CHAR(34),")));")</f>
        <v>map.add(new MatchingMnemonic("IchaV", new MatchingMnemonicDetail("I coulda had a V-8!", "V-8")));</v>
      </c>
    </row>
    <row r="179" spans="1:5" x14ac:dyDescent="0.25">
      <c r="A179" s="4" t="s">
        <v>107</v>
      </c>
      <c r="B179" s="2" t="str">
        <f>SUBSTITUTE(SUBSTITUTE(SUBSTITUTE(SUBSTITUTE(SUBSTITUTE(SUBSTITUTE(A179,"""",""), "“", ""),  "”", ""), ".", ""), "–", ""), "‘", "")</f>
        <v>Inspiration comes standard</v>
      </c>
      <c r="C179" s="4" t="s">
        <v>108</v>
      </c>
      <c r="D179" s="3" t="str">
        <f>GetFirstLettersOfAcronym(B179)</f>
        <v>Ics</v>
      </c>
      <c r="E179" s="3" t="str">
        <f xml:space="preserve"> CONCATENATE("map.add(new MatchingMnemonic(", CHAR(34), D179,  CHAR(34), ", ", "new MatchingMnemonicDetail(", CHAR(34), B179, CHAR(34), ", ", CHAR(34), C179, CHAR(34),")));")</f>
        <v>map.add(new MatchingMnemonic("Ics", new MatchingMnemonicDetail("Inspiration comes standard", "Chrysler")));</v>
      </c>
    </row>
    <row r="180" spans="1:5" x14ac:dyDescent="0.25">
      <c r="A180" t="s">
        <v>886</v>
      </c>
      <c r="B180" s="2" t="str">
        <f>SUBSTITUTE(SUBSTITUTE(SUBSTITUTE(SUBSTITUTE(SUBSTITUTE(SUBSTITUTE(TRIM(A180),"""",""), "“", ""),  "”", ""), ".", ""), "–", ""), "‘", "")</f>
        <v>It Does Exactly What it Says on the Tin</v>
      </c>
      <c r="C180" t="s">
        <v>948</v>
      </c>
      <c r="D180" s="3" t="str">
        <f>GetFirstLettersOfAcronym(B180)</f>
        <v>IDEWiSotT</v>
      </c>
      <c r="E180" s="3" t="str">
        <f xml:space="preserve"> CONCATENATE("map.add(new MatchingMnemonic(", CHAR(34), D180,  CHAR(34), ", ", "new MatchingMnemonicDetail(", CHAR(34), B180, CHAR(34), ", ", CHAR(34), C180, CHAR(34),")));")</f>
        <v>map.add(new MatchingMnemonic("IDEWiSotT", new MatchingMnemonicDetail("It Does Exactly What it Says on the Tin", "Ronseal")));</v>
      </c>
    </row>
    <row r="181" spans="1:5" x14ac:dyDescent="0.25">
      <c r="A181" s="4" t="s">
        <v>559</v>
      </c>
      <c r="B181" s="2" t="str">
        <f>SUBSTITUTE(SUBSTITUTE(SUBSTITUTE(SUBSTITUTE(SUBSTITUTE(SUBSTITUTE(A181,"""",""), "“", ""),  "”", ""), ".", ""), "–", ""), "‘", "")</f>
        <v>It’s everywhere you want to be</v>
      </c>
      <c r="C181" s="4" t="s">
        <v>560</v>
      </c>
      <c r="D181" s="3" t="str">
        <f>GetFirstLettersOfAcronym(B181)</f>
        <v>Ieywtb</v>
      </c>
      <c r="E181" s="3" t="str">
        <f xml:space="preserve"> CONCATENATE("map.add(new MatchingMnemonic(", CHAR(34), D181,  CHAR(34), ", ", "new MatchingMnemonicDetail(", CHAR(34), B181, CHAR(34), ", ", CHAR(34), C181, CHAR(34),")));")</f>
        <v>map.add(new MatchingMnemonic("Ieywtb", new MatchingMnemonicDetail("It’s everywhere you want to be", "VISA")));</v>
      </c>
    </row>
    <row r="182" spans="1:5" x14ac:dyDescent="0.25">
      <c r="A182" s="4" t="s">
        <v>291</v>
      </c>
      <c r="B182" s="2" t="str">
        <f>SUBSTITUTE(SUBSTITUTE(SUBSTITUTE(SUBSTITUTE(SUBSTITUTE(SUBSTITUTE(A182,"""",""), "“", ""),  "”", ""), ".", ""), "–", ""), "‘", "")</f>
        <v>I’ve fallen and I can’t get up</v>
      </c>
      <c r="C182" s="4" t="s">
        <v>292</v>
      </c>
      <c r="D182" s="3" t="str">
        <f>GetFirstLettersOfAcronym(B182)</f>
        <v>IfaIcgu</v>
      </c>
      <c r="E182" s="3" t="str">
        <f xml:space="preserve"> CONCATENATE("map.add(new MatchingMnemonic(", CHAR(34), D182,  CHAR(34), ", ", "new MatchingMnemonicDetail(", CHAR(34), B182, CHAR(34), ", ", CHAR(34), C182, CHAR(34),")));")</f>
        <v>map.add(new MatchingMnemonic("IfaIcgu", new MatchingMnemonicDetail("I’ve fallen and I can’t get up", "LifeCall")));</v>
      </c>
    </row>
    <row r="183" spans="1:5" x14ac:dyDescent="0.25">
      <c r="A183" t="s">
        <v>890</v>
      </c>
      <c r="B183" s="2" t="str">
        <f>SUBSTITUTE(SUBSTITUTE(SUBSTITUTE(SUBSTITUTE(SUBSTITUTE(SUBSTITUTE(TRIM(A183),"""",""), "“", ""),  "”", ""), ".", ""), "–", ""), "‘", "")</f>
        <v>Ideas for Life</v>
      </c>
      <c r="C183" t="s">
        <v>401</v>
      </c>
      <c r="D183" s="3" t="str">
        <f>GetFirstLettersOfAcronym(B183)</f>
        <v>IfL</v>
      </c>
      <c r="E183" s="3" t="str">
        <f xml:space="preserve"> CONCATENATE("map.add(new MatchingMnemonic(", CHAR(34), D183,  CHAR(34), ", ", "new MatchingMnemonicDetail(", CHAR(34), B183, CHAR(34), ", ", CHAR(34), C183, CHAR(34),")));")</f>
        <v>map.add(new MatchingMnemonic("IfL", new MatchingMnemonicDetail("Ideas for Life", "Panasonic")));</v>
      </c>
    </row>
    <row r="184" spans="1:5" x14ac:dyDescent="0.25">
      <c r="A184" s="4" t="s">
        <v>448</v>
      </c>
      <c r="B184" s="2" t="str">
        <f>SUBSTITUTE(SUBSTITUTE(SUBSTITUTE(SUBSTITUTE(SUBSTITUTE(SUBSTITUTE(A184,"""",""), "“", ""),  "”", ""), ".", ""), "–", ""), "‘", "")</f>
        <v>Ingredients for life</v>
      </c>
      <c r="C184" s="4" t="s">
        <v>449</v>
      </c>
      <c r="D184" s="3" t="str">
        <f>GetFirstLettersOfAcronym(B184)</f>
        <v>Ifl</v>
      </c>
      <c r="E184" s="3" t="str">
        <f xml:space="preserve"> CONCATENATE("map.add(new MatchingMnemonic(", CHAR(34), D184,  CHAR(34), ", ", "new MatchingMnemonicDetail(", CHAR(34), B184, CHAR(34), ", ", CHAR(34), C184, CHAR(34),")));")</f>
        <v>map.add(new MatchingMnemonic("Ifl", new MatchingMnemonicDetail("Ingredients for life", "Safeway")));</v>
      </c>
    </row>
    <row r="185" spans="1:5" x14ac:dyDescent="0.25">
      <c r="A185" s="3" t="s">
        <v>754</v>
      </c>
      <c r="B185" s="2" t="str">
        <f>SUBSTITUTE(SUBSTITUTE(SUBSTITUTE(SUBSTITUTE(SUBSTITUTE(SUBSTITUTE(TRIM(A185),"""",""), "“", ""),  "”", ""), ".", ""), "–", ""), "‘", "")</f>
        <v>It’s good to talk</v>
      </c>
      <c r="C185" s="3" t="s">
        <v>753</v>
      </c>
      <c r="D185" s="3" t="str">
        <f>GetFirstLettersOfAcronym(B185)</f>
        <v>Igtt</v>
      </c>
      <c r="E185" s="3" t="str">
        <f xml:space="preserve"> CONCATENATE("map.add(new MatchingMnemonic(", CHAR(34), D185,  CHAR(34), ", ", "new MatchingMnemonicDetail(", CHAR(34), B185, CHAR(34), ", ", CHAR(34), C185, CHAR(34),")));")</f>
        <v>map.add(new MatchingMnemonic("Igtt", new MatchingMnemonicDetail("It’s good to talk", "British Telecom")));</v>
      </c>
    </row>
    <row r="186" spans="1:5" x14ac:dyDescent="0.25">
      <c r="A186" t="s">
        <v>882</v>
      </c>
      <c r="B186" s="2" t="str">
        <f>SUBSTITUTE(SUBSTITUTE(SUBSTITUTE(SUBSTITUTE(SUBSTITUTE(SUBSTITUTE(TRIM(A186),"""",""), "“", ""),  "”", ""), ".", ""), "–", ""), "‘", "")</f>
        <v>It Gives You Wings!</v>
      </c>
      <c r="C186" t="s">
        <v>947</v>
      </c>
      <c r="D186" s="3" t="str">
        <f>GetFirstLettersOfAcronym(B186)</f>
        <v>IGYW</v>
      </c>
      <c r="E186" s="3" t="str">
        <f xml:space="preserve"> CONCATENATE("map.add(new MatchingMnemonic(", CHAR(34), D186,  CHAR(34), ", ", "new MatchingMnemonicDetail(", CHAR(34), B186, CHAR(34), ", ", CHAR(34), C186, CHAR(34),")));")</f>
        <v>map.add(new MatchingMnemonic("IGYW", new MatchingMnemonicDetail("It Gives You Wings!", "Red Bull")));</v>
      </c>
    </row>
    <row r="187" spans="1:5" x14ac:dyDescent="0.25">
      <c r="A187" s="4" t="s">
        <v>522</v>
      </c>
      <c r="B187" s="2" t="str">
        <f>SUBSTITUTE(SUBSTITUTE(SUBSTITUTE(SUBSTITUTE(SUBSTITUTE(SUBSTITUTE(A187,"""",""), "“", ""),  "”", ""), ".", ""), "–", ""), "‘", "")</f>
        <v>It’s hospital recommended</v>
      </c>
      <c r="C187" s="4" t="s">
        <v>523</v>
      </c>
      <c r="D187" s="3" t="str">
        <f>GetFirstLettersOfAcronym(B187)</f>
        <v>Ihr</v>
      </c>
      <c r="E187" s="3" t="str">
        <f xml:space="preserve"> CONCATENATE("map.add(new MatchingMnemonic(", CHAR(34), D187,  CHAR(34), ", ", "new MatchingMnemonicDetail(", CHAR(34), B187, CHAR(34), ", ", CHAR(34), C187, CHAR(34),")));")</f>
        <v>map.add(new MatchingMnemonic("Ihr", new MatchingMnemonicDetail("It’s hospital recommended", "Tylenol")));</v>
      </c>
    </row>
    <row r="188" spans="1:5" x14ac:dyDescent="0.25">
      <c r="A188" s="2" t="s">
        <v>254</v>
      </c>
      <c r="B188" s="2" t="str">
        <f>SUBSTITUTE(SUBSTITUTE(SUBSTITUTE(SUBSTITUTE(SUBSTITUTE(SUBSTITUTE(A188,"""",""), "“", ""),  "”", ""), ".", ""), "–", ""), "‘", "")</f>
        <v>Intel Inside</v>
      </c>
      <c r="C188" s="2" t="s">
        <v>255</v>
      </c>
      <c r="D188" s="3" t="str">
        <f>GetFirstLettersOfAcronym(B188)</f>
        <v>II</v>
      </c>
      <c r="E188" s="3" t="str">
        <f xml:space="preserve"> CONCATENATE("map.add(new MatchingMnemonic(", CHAR(34), D188,  CHAR(34), ", ", "new MatchingMnemonicDetail(", CHAR(34), B188, CHAR(34), ", ", CHAR(34), C188, CHAR(34),")));")</f>
        <v>map.add(new MatchingMnemonic("II", new MatchingMnemonicDetail("Intel Inside", "Intel")));</v>
      </c>
    </row>
    <row r="189" spans="1:5" x14ac:dyDescent="0.25">
      <c r="A189" t="s">
        <v>836</v>
      </c>
      <c r="B189" s="2" t="str">
        <f>SUBSTITUTE(SUBSTITUTE(SUBSTITUTE(SUBSTITUTE(SUBSTITUTE(SUBSTITUTE(TRIM(A189),"""",""), "“", ""),  "”", ""), ".", ""), "–", ""), "‘", "")</f>
        <v>It is Are you?</v>
      </c>
      <c r="C189" t="s">
        <v>938</v>
      </c>
      <c r="D189" s="3" t="str">
        <f>GetFirstLettersOfAcronym(B189)</f>
        <v>IiAy</v>
      </c>
      <c r="E189" s="3" t="str">
        <f xml:space="preserve"> CONCATENATE("map.add(new MatchingMnemonic(", CHAR(34), D189,  CHAR(34), ", ", "new MatchingMnemonicDetail(", CHAR(34), B189, CHAR(34), ", ", CHAR(34), C189, CHAR(34),")));")</f>
        <v>map.add(new MatchingMnemonic("IiAy", new MatchingMnemonicDetail("It is Are you?", "The Independent")));</v>
      </c>
    </row>
    <row r="190" spans="1:5" x14ac:dyDescent="0.25">
      <c r="A190" s="2" t="s">
        <v>524</v>
      </c>
      <c r="B190" s="2" t="str">
        <f>SUBSTITUTE(SUBSTITUTE(SUBSTITUTE(SUBSTITUTE(SUBSTITUTE(SUBSTITUTE(A190,"""",""), "“", ""),  "”", ""), ".", ""), "–", ""), "‘", "")</f>
        <v>Imagine it Done</v>
      </c>
      <c r="C190" s="2" t="s">
        <v>525</v>
      </c>
      <c r="D190" s="3" t="str">
        <f>GetFirstLettersOfAcronym(B190)</f>
        <v>IiD</v>
      </c>
      <c r="E190" s="3" t="str">
        <f xml:space="preserve"> CONCATENATE("map.add(new MatchingMnemonic(", CHAR(34), D190,  CHAR(34), ", ", "new MatchingMnemonicDetail(", CHAR(34), B190, CHAR(34), ", ", CHAR(34), C190, CHAR(34),")));")</f>
        <v>map.add(new MatchingMnemonic("IiD", new MatchingMnemonicDetail("Imagine it Done", "Unisys")));</v>
      </c>
    </row>
    <row r="191" spans="1:5" x14ac:dyDescent="0.25">
      <c r="A191" s="2" t="s">
        <v>508</v>
      </c>
      <c r="B191" s="2" t="str">
        <f>SUBSTITUTE(SUBSTITUTE(SUBSTITUTE(SUBSTITUTE(SUBSTITUTE(SUBSTITUTE(A191,"""",""), "“", ""),  "”", ""), ".", ""), "–", ""), "‘", "")</f>
        <v>If it’s gotta be clean, it’s gotta be Tide</v>
      </c>
      <c r="C191" s="2" t="s">
        <v>509</v>
      </c>
      <c r="D191" s="3" t="str">
        <f>GetFirstLettersOfAcronym(B191)</f>
        <v>IigbcigbT</v>
      </c>
      <c r="E191" s="3" t="str">
        <f xml:space="preserve"> CONCATENATE("map.add(new MatchingMnemonic(", CHAR(34), D191,  CHAR(34), ", ", "new MatchingMnemonicDetail(", CHAR(34), B191, CHAR(34), ", ", CHAR(34), C191, CHAR(34),")));")</f>
        <v>map.add(new MatchingMnemonic("IigbcigbT", new MatchingMnemonicDetail("If it’s gotta be clean, it’s gotta be Tide", "Tide")));</v>
      </c>
    </row>
    <row r="192" spans="1:5" x14ac:dyDescent="0.25">
      <c r="A192" s="2" t="s">
        <v>752</v>
      </c>
      <c r="B192" s="2" t="str">
        <f>SUBSTITUTE(SUBSTITUTE(SUBSTITUTE(SUBSTITUTE(SUBSTITUTE(SUBSTITUTE(A192,"""",""), "“", ""),  "”", ""), ".", ""), "–", ""), "‘", "")</f>
        <v>Intel inside logo</v>
      </c>
      <c r="C192" s="2" t="s">
        <v>255</v>
      </c>
      <c r="D192" s="3" t="str">
        <f>GetFirstLettersOfAcronym(B192)</f>
        <v>Iil</v>
      </c>
      <c r="E192" s="3" t="str">
        <f xml:space="preserve"> CONCATENATE("map.add(new MatchingMnemonic(", CHAR(34), D192,  CHAR(34), ", ", "new MatchingMnemonicDetail(", CHAR(34), B192, CHAR(34), ", ", CHAR(34), C192, CHAR(34),")));")</f>
        <v>map.add(new MatchingMnemonic("Iil", new MatchingMnemonicDetail("Intel inside logo", "Intel")));</v>
      </c>
    </row>
    <row r="193" spans="1:5" x14ac:dyDescent="0.25">
      <c r="A193" s="2" t="s">
        <v>321</v>
      </c>
      <c r="B193" s="2" t="str">
        <f>SUBSTITUTE(SUBSTITUTE(SUBSTITUTE(SUBSTITUTE(SUBSTITUTE(SUBSTITUTE(A193,"""",""), "“", ""),  "”", ""), ".", ""), "–", ""), "‘", "")</f>
        <v>Is it live or is it Memorex?</v>
      </c>
      <c r="C193" s="2" t="s">
        <v>322</v>
      </c>
      <c r="D193" s="3" t="str">
        <f>GetFirstLettersOfAcronym(B193)</f>
        <v>IiloiiM</v>
      </c>
      <c r="E193" s="3" t="str">
        <f xml:space="preserve"> CONCATENATE("map.add(new MatchingMnemonic(", CHAR(34), D193,  CHAR(34), ", ", "new MatchingMnemonicDetail(", CHAR(34), B193, CHAR(34), ", ", CHAR(34), C193, CHAR(34),")));")</f>
        <v>map.add(new MatchingMnemonic("IiloiiM", new MatchingMnemonicDetail("Is it live or is it Memorex?", "Memorex")));</v>
      </c>
    </row>
    <row r="194" spans="1:5" x14ac:dyDescent="0.25">
      <c r="A194" s="3" t="s">
        <v>755</v>
      </c>
      <c r="B194" s="2" t="str">
        <f>SUBSTITUTE(SUBSTITUTE(SUBSTITUTE(SUBSTITUTE(SUBSTITUTE(SUBSTITUTE(A194,"""",""), "“", ""),  "”", ""), ".", ""), "–", ""), "‘", "")</f>
        <v>Impossible is Nothing</v>
      </c>
      <c r="C194" s="3" t="s">
        <v>711</v>
      </c>
      <c r="D194" s="3" t="str">
        <f>GetFirstLettersOfAcronym(B194)</f>
        <v>IiN</v>
      </c>
      <c r="E194" s="3" t="str">
        <f xml:space="preserve"> CONCATENATE("map.add(new MatchingMnemonic(", CHAR(34), D194,  CHAR(34), ", ", "new MatchingMnemonicDetail(", CHAR(34), B194, CHAR(34), ", ", CHAR(34), C194, CHAR(34),")));")</f>
        <v>map.add(new MatchingMnemonic("IiN", new MatchingMnemonicDetail("Impossible is Nothing", "Adidas ")));</v>
      </c>
    </row>
    <row r="195" spans="1:5" x14ac:dyDescent="0.25">
      <c r="A195" s="4" t="s">
        <v>496</v>
      </c>
      <c r="B195" s="2" t="str">
        <f>SUBSTITUTE(SUBSTITUTE(SUBSTITUTE(SUBSTITUTE(SUBSTITUTE(SUBSTITUTE(A195,"""",""), "“", ""),  "”", ""), ".", ""), "–", ""), "‘", "")</f>
        <v>If it’s not SuperSoil, it’s just plain old dirt</v>
      </c>
      <c r="C195" s="4" t="s">
        <v>497</v>
      </c>
      <c r="D195" s="3" t="str">
        <f>GetFirstLettersOfAcronym(B195)</f>
        <v>IinSijpod</v>
      </c>
      <c r="E195" s="3" t="str">
        <f xml:space="preserve"> CONCATENATE("map.add(new MatchingMnemonic(", CHAR(34), D195,  CHAR(34), ", ", "new MatchingMnemonicDetail(", CHAR(34), B195, CHAR(34), ", ", CHAR(34), C195, CHAR(34),")));")</f>
        <v>map.add(new MatchingMnemonic("IinSijpod", new MatchingMnemonicDetail("If it’s not SuperSoil, it’s just plain old dirt", "SuperSoil")));</v>
      </c>
    </row>
    <row r="196" spans="1:5" x14ac:dyDescent="0.25">
      <c r="A196" t="s">
        <v>772</v>
      </c>
      <c r="B196" s="2" t="str">
        <f>SUBSTITUTE(SUBSTITUTE(SUBSTITUTE(SUBSTITUTE(SUBSTITUTE(SUBSTITUTE(TRIM(A196),"""",""), "“", ""),  "”", ""), ".", ""), "–", ""), "‘", "")</f>
        <v>If it's on, it's in</v>
      </c>
      <c r="C196" t="s">
        <v>773</v>
      </c>
      <c r="D196" s="3" t="str">
        <f>GetFirstLettersOfAcronym(B196)</f>
        <v>Iioii</v>
      </c>
      <c r="E196" s="3" t="str">
        <f xml:space="preserve"> CONCATENATE("map.add(new MatchingMnemonic(", CHAR(34), D196,  CHAR(34), ", ", "new MatchingMnemonicDetail(", CHAR(34), B196, CHAR(34), ", ", CHAR(34), C196, CHAR(34),")));")</f>
        <v>map.add(new MatchingMnemonic("Iioii", new MatchingMnemonicDetail("If it's on, it's in", "Radio Times")));</v>
      </c>
    </row>
    <row r="197" spans="1:5" ht="28.5" x14ac:dyDescent="0.25">
      <c r="A197" s="4" t="s">
        <v>115</v>
      </c>
      <c r="B197" s="2" t="str">
        <f>SUBSTITUTE(SUBSTITUTE(SUBSTITUTE(SUBSTITUTE(SUBSTITUTE(SUBSTITUTE(A197,"""",""), "“", ""),  "”", ""), ".", ""), "–", ""), "‘", "")</f>
        <v>If I’ve only one life, let me live it as a blonde</v>
      </c>
      <c r="C197" s="4" t="s">
        <v>116</v>
      </c>
      <c r="D197" s="3" t="str">
        <f>GetFirstLettersOfAcronym(B197)</f>
        <v>IIoollmliaab</v>
      </c>
      <c r="E197" s="3" t="str">
        <f xml:space="preserve"> CONCATENATE("map.add(new MatchingMnemonic(", CHAR(34), D197,  CHAR(34), ", ", "new MatchingMnemonicDetail(", CHAR(34), B197, CHAR(34), ", ", CHAR(34), C197, CHAR(34),")));")</f>
        <v>map.add(new MatchingMnemonic("IIoollmliaab", new MatchingMnemonicDetail("If I’ve only one life, let me live it as a blonde", "Clairol")));</v>
      </c>
    </row>
    <row r="198" spans="1:5" x14ac:dyDescent="0.25">
      <c r="A198" s="4" t="s">
        <v>74</v>
      </c>
      <c r="B198" s="2" t="str">
        <f>SUBSTITUTE(SUBSTITUTE(SUBSTITUTE(SUBSTITUTE(SUBSTITUTE(SUBSTITUTE(A198,"""",""), "“", ""),  "”", ""), ".", ""), "–", ""), "‘", "")</f>
        <v>It just tastes better</v>
      </c>
      <c r="C198" s="4" t="s">
        <v>75</v>
      </c>
      <c r="D198" s="3" t="str">
        <f>GetFirstLettersOfAcronym(B198)</f>
        <v>Ijtb</v>
      </c>
      <c r="E198" s="3" t="str">
        <f xml:space="preserve"> CONCATENATE("map.add(new MatchingMnemonic(", CHAR(34), D198,  CHAR(34), ", ", "new MatchingMnemonicDetail(", CHAR(34), B198, CHAR(34), ", ", CHAR(34), C198, CHAR(34),")));")</f>
        <v>map.add(new MatchingMnemonic("Ijtb", new MatchingMnemonicDetail("It just tastes better", "Burger King")));</v>
      </c>
    </row>
    <row r="199" spans="1:5" x14ac:dyDescent="0.25">
      <c r="A199" t="s">
        <v>887</v>
      </c>
      <c r="B199" s="2" t="str">
        <f>SUBSTITUTE(SUBSTITUTE(SUBSTITUTE(SUBSTITUTE(SUBSTITUTE(SUBSTITUTE(TRIM(A199),"""",""), "“", ""),  "”", ""), ".", ""), "–", ""), "‘", "")</f>
        <v>It Keeps Going, and Going, and Going…</v>
      </c>
      <c r="C199" t="s">
        <v>902</v>
      </c>
      <c r="D199" s="3" t="str">
        <f>GetFirstLettersOfAcronym(B199)</f>
        <v>IKGaGaG</v>
      </c>
      <c r="E199" s="3" t="str">
        <f xml:space="preserve"> CONCATENATE("map.add(new MatchingMnemonic(", CHAR(34), D199,  CHAR(34), ", ", "new MatchingMnemonicDetail(", CHAR(34), B199, CHAR(34), ", ", CHAR(34), C199, CHAR(34),")));")</f>
        <v>map.add(new MatchingMnemonic("IKGaGaG", new MatchingMnemonicDetail("It Keeps Going, and Going, and Going…", "Energizer")));</v>
      </c>
    </row>
    <row r="200" spans="1:5" x14ac:dyDescent="0.25">
      <c r="A200" s="3" t="s">
        <v>747</v>
      </c>
      <c r="B200" s="2" t="str">
        <f>SUBSTITUTE(SUBSTITUTE(SUBSTITUTE(SUBSTITUTE(SUBSTITUTE(SUBSTITUTE(A200,"""",""), "“", ""),  "”", ""), ".", ""), "–", ""), "‘", "")</f>
        <v>I’m loving it</v>
      </c>
      <c r="C200" s="3" t="s">
        <v>733</v>
      </c>
      <c r="D200" s="3" t="str">
        <f>GetFirstLettersOfAcronym(B200)</f>
        <v>Ili</v>
      </c>
      <c r="E200" s="3" t="str">
        <f xml:space="preserve"> CONCATENATE("map.add(new MatchingMnemonic(", CHAR(34), D200,  CHAR(34), ", ", "new MatchingMnemonicDetail(", CHAR(34), B200, CHAR(34), ", ", CHAR(34), C200, CHAR(34),")));")</f>
        <v>map.add(new MatchingMnemonic("Ili", new MatchingMnemonicDetail("I’m loving it", "McDonalds ")));</v>
      </c>
    </row>
    <row r="201" spans="1:5" x14ac:dyDescent="0.25">
      <c r="A201" s="4" t="s">
        <v>440</v>
      </c>
      <c r="B201" s="2" t="str">
        <f>SUBSTITUTE(SUBSTITUTE(SUBSTITUTE(SUBSTITUTE(SUBSTITUTE(SUBSTITUTE(A201,"""",""), "“", ""),  "”", ""), ".", ""), "–", ""), "‘", "")</f>
        <v>I liked it so much I bought the company</v>
      </c>
      <c r="C201" s="4" t="s">
        <v>441</v>
      </c>
      <c r="D201" s="3" t="str">
        <f>GetFirstLettersOfAcronym(B201)</f>
        <v>IlismIbtc</v>
      </c>
      <c r="E201" s="3" t="str">
        <f xml:space="preserve"> CONCATENATE("map.add(new MatchingMnemonic(", CHAR(34), D201,  CHAR(34), ", ", "new MatchingMnemonicDetail(", CHAR(34), B201, CHAR(34), ", ", CHAR(34), C201, CHAR(34),")));")</f>
        <v>map.add(new MatchingMnemonic("IlismIbtc", new MatchingMnemonicDetail("I liked it so much I bought the company", "Remington")));</v>
      </c>
    </row>
    <row r="202" spans="1:5" x14ac:dyDescent="0.25">
      <c r="A202" t="s">
        <v>768</v>
      </c>
      <c r="B202" s="2" t="str">
        <f>SUBSTITUTE(SUBSTITUTE(SUBSTITUTE(SUBSTITUTE(SUBSTITUTE(SUBSTITUTE(TRIM(A202),"""",""), "“", ""),  "”", ""), ".", ""), "–", ""), "‘", "")</f>
        <v>I love New York</v>
      </c>
      <c r="C202" t="s">
        <v>769</v>
      </c>
      <c r="D202" s="3" t="str">
        <f>GetFirstLettersOfAcronym(B202)</f>
        <v>IlNY</v>
      </c>
      <c r="E202" s="3" t="str">
        <f xml:space="preserve"> CONCATENATE("map.add(new MatchingMnemonic(", CHAR(34), D202,  CHAR(34), ", ", "new MatchingMnemonicDetail(", CHAR(34), B202, CHAR(34), ", ", CHAR(34), C202, CHAR(34),")));")</f>
        <v>map.add(new MatchingMnemonic("IlNY", new MatchingMnemonicDetail("I love New York", "New York")));</v>
      </c>
    </row>
    <row r="203" spans="1:5" ht="28.5" x14ac:dyDescent="0.25">
      <c r="A203" s="4" t="s">
        <v>616</v>
      </c>
      <c r="B203" s="2" t="str">
        <f>SUBSTITUTE(SUBSTITUTE(SUBSTITUTE(SUBSTITUTE(SUBSTITUTE(SUBSTITUTE(A203,"""",""), "“", ""),  "”", ""), ".", ""), "–", ""), "‘", "")</f>
        <v>I’d like to teach the world to sing in perfect harmony</v>
      </c>
      <c r="C203" s="4" t="s">
        <v>124</v>
      </c>
      <c r="D203" s="3" t="str">
        <f>GetFirstLettersOfAcronym(B203)</f>
        <v>Iltttwtsiph</v>
      </c>
      <c r="E203" s="3" t="str">
        <f xml:space="preserve"> CONCATENATE("map.add(new MatchingMnemonic(", CHAR(34), D203,  CHAR(34), ", ", "new MatchingMnemonicDetail(", CHAR(34), B203, CHAR(34), ", ", CHAR(34), C203, CHAR(34),")));")</f>
        <v>map.add(new MatchingMnemonic("Iltttwtsiph", new MatchingMnemonicDetail("I’d like to teach the world to sing in perfect harmony", "Coca-Cola")));</v>
      </c>
    </row>
    <row r="204" spans="1:5" x14ac:dyDescent="0.25">
      <c r="A204" s="4" t="s">
        <v>691</v>
      </c>
      <c r="B204" s="2" t="str">
        <f>SUBSTITUTE(SUBSTITUTE(SUBSTITUTE(SUBSTITUTE(SUBSTITUTE(SUBSTITUTE(A204,"""",""), "“", ""),  "”", ""), ".", ""), "–", ""), "‘", "")</f>
        <v>I love what you do for meToyota</v>
      </c>
      <c r="C204" s="4" t="s">
        <v>517</v>
      </c>
      <c r="D204" s="3" t="str">
        <f>GetFirstLettersOfAcronym(B204)</f>
        <v>Ilwydfm</v>
      </c>
      <c r="E204" s="3" t="str">
        <f xml:space="preserve"> CONCATENATE("map.add(new MatchingMnemonic(", CHAR(34), D204,  CHAR(34), ", ", "new MatchingMnemonicDetail(", CHAR(34), B204, CHAR(34), ", ", CHAR(34), C204, CHAR(34),")));")</f>
        <v>map.add(new MatchingMnemonic("Ilwydfm", new MatchingMnemonicDetail("I love what you do for meToyota", "Toyota")));</v>
      </c>
    </row>
    <row r="205" spans="1:5" x14ac:dyDescent="0.25">
      <c r="A205" s="2" t="s">
        <v>335</v>
      </c>
      <c r="B205" s="2" t="str">
        <f>SUBSTITUTE(SUBSTITUTE(SUBSTITUTE(SUBSTITUTE(SUBSTITUTE(SUBSTITUTE(A205,"""",""), "“", ""),  "”", ""), ".", ""), "–", ""), "‘", "")</f>
        <v>It’s Miller time!</v>
      </c>
      <c r="C205" s="2" t="s">
        <v>336</v>
      </c>
      <c r="D205" s="3" t="str">
        <f>GetFirstLettersOfAcronym(B205)</f>
        <v>IMt</v>
      </c>
      <c r="E205" s="3" t="str">
        <f xml:space="preserve"> CONCATENATE("map.add(new MatchingMnemonic(", CHAR(34), D205,  CHAR(34), ", ", "new MatchingMnemonicDetail(", CHAR(34), B205, CHAR(34), ", ", CHAR(34), C205, CHAR(34),")));")</f>
        <v>map.add(new MatchingMnemonic("IMt", new MatchingMnemonicDetail("It’s Miller time!", "Miller Beer")));</v>
      </c>
    </row>
    <row r="206" spans="1:5" x14ac:dyDescent="0.25">
      <c r="A206" s="4" t="s">
        <v>544</v>
      </c>
      <c r="B206" s="2" t="str">
        <f>SUBSTITUTE(SUBSTITUTE(SUBSTITUTE(SUBSTITUTE(SUBSTITUTE(SUBSTITUTE(A206,"""",""), "“", ""),  "”", ""), ".", ""), "–", ""), "‘", "")</f>
        <v>It’s not a job It’s an adventure</v>
      </c>
      <c r="C206" s="4" t="s">
        <v>545</v>
      </c>
      <c r="D206" s="3" t="str">
        <f>GetFirstLettersOfAcronym(B206)</f>
        <v>InajIaa</v>
      </c>
      <c r="E206" s="3" t="str">
        <f xml:space="preserve"> CONCATENATE("map.add(new MatchingMnemonic(", CHAR(34), D206,  CHAR(34), ", ", "new MatchingMnemonicDetail(", CHAR(34), B206, CHAR(34), ", ", CHAR(34), C206, CHAR(34),")));")</f>
        <v>map.add(new MatchingMnemonic("InajIaa", new MatchingMnemonicDetail("It’s not a job It’s an adventure", "U.S. Navy")));</v>
      </c>
    </row>
    <row r="207" spans="1:5" ht="28.5" x14ac:dyDescent="0.25">
      <c r="A207" s="2" t="s">
        <v>187</v>
      </c>
      <c r="B207" s="2" t="str">
        <f>SUBSTITUTE(SUBSTITUTE(SUBSTITUTE(SUBSTITUTE(SUBSTITUTE(SUBSTITUTE(A207,"""",""), "“", ""),  "”", ""), ".", ""), "–", ""), "‘", "")</f>
        <v>It’s not just for breakfast anymore</v>
      </c>
      <c r="C207" s="2" t="s">
        <v>188</v>
      </c>
      <c r="D207" s="3" t="str">
        <f>GetFirstLettersOfAcronym(B207)</f>
        <v>Injfba</v>
      </c>
      <c r="E207" s="3" t="str">
        <f xml:space="preserve"> CONCATENATE("map.add(new MatchingMnemonic(", CHAR(34), D207,  CHAR(34), ", ", "new MatchingMnemonicDetail(", CHAR(34), B207, CHAR(34), ", ", CHAR(34), C207, CHAR(34),")));")</f>
        <v>map.add(new MatchingMnemonic("Injfba", new MatchingMnemonicDetail("It’s not just for breakfast anymore", "Florida Orange Juice Growers Association")));</v>
      </c>
    </row>
    <row r="208" spans="1:5" x14ac:dyDescent="0.25">
      <c r="A208" s="2" t="s">
        <v>105</v>
      </c>
      <c r="B208" s="2" t="str">
        <f>SUBSTITUTE(SUBSTITUTE(SUBSTITUTE(SUBSTITUTE(SUBSTITUTE(SUBSTITUTE(A208,"""",""), "“", ""),  "”", ""), ".", ""), "–", ""), "‘", "")</f>
        <v>It’s not nice to fool Mother Nature</v>
      </c>
      <c r="C208" s="2" t="s">
        <v>106</v>
      </c>
      <c r="D208" s="3" t="str">
        <f>GetFirstLettersOfAcronym(B208)</f>
        <v>InntfMN</v>
      </c>
      <c r="E208" s="3" t="str">
        <f xml:space="preserve"> CONCATENATE("map.add(new MatchingMnemonic(", CHAR(34), D208,  CHAR(34), ", ", "new MatchingMnemonicDetail(", CHAR(34), B208, CHAR(34), ", ", CHAR(34), C208, CHAR(34),")));")</f>
        <v>map.add(new MatchingMnemonic("InntfMN", new MatchingMnemonicDetail("It’s not nice to fool Mother Nature", "Chiffon Margarine")));</v>
      </c>
    </row>
    <row r="209" spans="1:5" x14ac:dyDescent="0.25">
      <c r="A209" s="4" t="s">
        <v>382</v>
      </c>
      <c r="B209" s="2" t="str">
        <f>SUBSTITUTE(SUBSTITUTE(SUBSTITUTE(SUBSTITUTE(SUBSTITUTE(SUBSTITUTE(A209,"""",""), "“", ""),  "”", ""), ".", ""), "–", ""), "‘", "")</f>
        <v>It’s not your father’s Oldsmobile anymore</v>
      </c>
      <c r="C209" s="4" t="s">
        <v>383</v>
      </c>
      <c r="D209" s="3" t="str">
        <f>GetFirstLettersOfAcronym(B209)</f>
        <v>InyfOa</v>
      </c>
      <c r="E209" s="3" t="str">
        <f xml:space="preserve"> CONCATENATE("map.add(new MatchingMnemonic(", CHAR(34), D209,  CHAR(34), ", ", "new MatchingMnemonicDetail(", CHAR(34), B209, CHAR(34), ", ", CHAR(34), C209, CHAR(34),")));")</f>
        <v>map.add(new MatchingMnemonic("InyfOa", new MatchingMnemonicDetail("It’s not your father’s Oldsmobile anymore", "Oldsmobile")));</v>
      </c>
    </row>
    <row r="210" spans="1:5" x14ac:dyDescent="0.25">
      <c r="A210" s="4" t="s">
        <v>506</v>
      </c>
      <c r="B210" s="2" t="str">
        <f>SUBSTITUTE(SUBSTITUTE(SUBSTITUTE(SUBSTITUTE(SUBSTITUTE(SUBSTITUTE(A210,"""",""), "“", ""),  "”", ""), ".", ""), "–", ""), "‘", "")</f>
        <v>I’d rather fight than switch</v>
      </c>
      <c r="C210" s="4" t="s">
        <v>507</v>
      </c>
      <c r="D210" s="3" t="str">
        <f>GetFirstLettersOfAcronym(B210)</f>
        <v>Irfts</v>
      </c>
      <c r="E210" s="3" t="str">
        <f xml:space="preserve"> CONCATENATE("map.add(new MatchingMnemonic(", CHAR(34), D210,  CHAR(34), ", ", "new MatchingMnemonicDetail(", CHAR(34), B210, CHAR(34), ", ", CHAR(34), C210, CHAR(34),")));")</f>
        <v>map.add(new MatchingMnemonic("Irfts", new MatchingMnemonicDetail("I’d rather fight than switch", "Tareyton Cigarettes")));</v>
      </c>
    </row>
    <row r="211" spans="1:5" x14ac:dyDescent="0.25">
      <c r="A211" s="3" t="s">
        <v>750</v>
      </c>
      <c r="B211" s="2" t="str">
        <f>SUBSTITUTE(SUBSTITUTE(SUBSTITUTE(SUBSTITUTE(SUBSTITUTE(SUBSTITUTE(A211,"""",""), "“", ""),  "”", ""), ".", ""), "–", ""), "‘", "")</f>
        <v>It’s Style</v>
      </c>
      <c r="C211" s="3" t="s">
        <v>736</v>
      </c>
      <c r="D211" s="3" t="str">
        <f>GetFirstLettersOfAcronym(B211)</f>
        <v>IS</v>
      </c>
      <c r="E211" s="3" t="str">
        <f xml:space="preserve"> CONCATENATE("map.add(new MatchingMnemonic(", CHAR(34), D211,  CHAR(34), ", ", "new MatchingMnemonicDetail(", CHAR(34), B211, CHAR(34), ", ", CHAR(34), C211, CHAR(34),")));")</f>
        <v>map.add(new MatchingMnemonic("IS", new MatchingMnemonicDetail("It’s Style", "Solex ")));</v>
      </c>
    </row>
    <row r="212" spans="1:5" x14ac:dyDescent="0.25">
      <c r="A212" s="2" t="s">
        <v>466</v>
      </c>
      <c r="B212" s="2" t="str">
        <f>SUBSTITUTE(SUBSTITUTE(SUBSTITUTE(SUBSTITUTE(SUBSTITUTE(SUBSTITUTE(A212,"""",""), "“", ""),  "”", ""), ".", ""), "–", ""), "‘", "")</f>
        <v>It’s Shake and Bake, and I helped</v>
      </c>
      <c r="C212" s="2" t="s">
        <v>467</v>
      </c>
      <c r="D212" s="3" t="str">
        <f>GetFirstLettersOfAcronym(B212)</f>
        <v>ISaBaIh</v>
      </c>
      <c r="E212" s="3" t="str">
        <f xml:space="preserve"> CONCATENATE("map.add(new MatchingMnemonic(", CHAR(34), D212,  CHAR(34), ", ", "new MatchingMnemonicDetail(", CHAR(34), B212, CHAR(34), ", ", CHAR(34), C212, CHAR(34),")));")</f>
        <v>map.add(new MatchingMnemonic("ISaBaIh", new MatchingMnemonicDetail("It’s Shake and Bake, and I helped", "Shake and Bake")));</v>
      </c>
    </row>
    <row r="213" spans="1:5" ht="28.5" x14ac:dyDescent="0.25">
      <c r="A213" s="4" t="s">
        <v>679</v>
      </c>
      <c r="B213" s="2" t="str">
        <f>SUBSTITUTE(SUBSTITUTE(SUBSTITUTE(SUBSTITUTE(SUBSTITUTE(SUBSTITUTE(A213,"""",""), "“", ""),  "”", ""), ".", ""), "–", ""), "‘", "")</f>
        <v>It’s slinky, it’s slinky, oh what a wonderful toy</v>
      </c>
      <c r="C213" s="4" t="s">
        <v>680</v>
      </c>
      <c r="D213" s="3" t="str">
        <f>GetFirstLettersOfAcronym(B213)</f>
        <v>Isisowawt</v>
      </c>
      <c r="E213" s="3" t="str">
        <f xml:space="preserve"> CONCATENATE("map.add(new MatchingMnemonic(", CHAR(34), D213,  CHAR(34), ", ", "new MatchingMnemonicDetail(", CHAR(34), B213, CHAR(34), ", ", CHAR(34), C213, CHAR(34),")));")</f>
        <v>map.add(new MatchingMnemonic("Isisowawt", new MatchingMnemonicDetail("It’s slinky, it’s slinky, oh what a wonderful toy", "Slinky")));</v>
      </c>
    </row>
    <row r="214" spans="1:5" x14ac:dyDescent="0.25">
      <c r="A214" t="s">
        <v>839</v>
      </c>
      <c r="B214" s="2" t="str">
        <f>SUBSTITUTE(SUBSTITUTE(SUBSTITUTE(SUBSTITUTE(SUBSTITUTE(SUBSTITUTE(TRIM(A214),"""",""), "“", ""),  "”", ""), ".", ""), "–", ""), "‘", "")</f>
        <v>It takes a licking and keeps on ticking</v>
      </c>
      <c r="C214" t="s">
        <v>511</v>
      </c>
      <c r="D214" s="3" t="str">
        <f>GetFirstLettersOfAcronym(B214)</f>
        <v>Italakot</v>
      </c>
      <c r="E214" s="3" t="str">
        <f xml:space="preserve"> CONCATENATE("map.add(new MatchingMnemonic(", CHAR(34), D214,  CHAR(34), ", ", "new MatchingMnemonicDetail(", CHAR(34), B214, CHAR(34), ", ", CHAR(34), C214, CHAR(34),")));")</f>
        <v>map.add(new MatchingMnemonic("Italakot", new MatchingMnemonicDetail("It takes a licking and keeps on ticking", "Timex")));</v>
      </c>
    </row>
    <row r="215" spans="1:5" x14ac:dyDescent="0.25">
      <c r="A215" t="s">
        <v>827</v>
      </c>
      <c r="B215" s="2" t="str">
        <f>SUBSTITUTE(SUBSTITUTE(SUBSTITUTE(SUBSTITUTE(SUBSTITUTE(SUBSTITUTE(TRIM(A215),"""",""), "“", ""),  "”", ""), ".", ""), "–", ""), "‘", "")</f>
        <v>It takes a tough man to make a tender chicken</v>
      </c>
      <c r="C215" t="s">
        <v>927</v>
      </c>
      <c r="D215" s="3" t="str">
        <f>GetFirstLettersOfAcronym(B215)</f>
        <v>Itatmtmatc</v>
      </c>
      <c r="E215" s="3" t="str">
        <f xml:space="preserve"> CONCATENATE("map.add(new MatchingMnemonic(", CHAR(34), D215,  CHAR(34), ", ", "new MatchingMnemonicDetail(", CHAR(34), B215, CHAR(34), ", ", CHAR(34), C215, CHAR(34),")));")</f>
        <v>map.add(new MatchingMnemonic("Itatmtmatc", new MatchingMnemonicDetail("It takes a tough man to make a tender chicken", "Perdue")));</v>
      </c>
    </row>
    <row r="216" spans="1:5" x14ac:dyDescent="0.25">
      <c r="A216" s="2" t="s">
        <v>283</v>
      </c>
      <c r="B216" s="2" t="str">
        <f>SUBSTITUTE(SUBSTITUTE(SUBSTITUTE(SUBSTITUTE(SUBSTITUTE(SUBSTITUTE(A216,"""",""), "“", ""),  "”", ""), ".", ""), "–", ""), "‘", "")</f>
        <v>It’s time for clarity</v>
      </c>
      <c r="C216" s="2" t="s">
        <v>284</v>
      </c>
      <c r="D216" s="3" t="str">
        <f>GetFirstLettersOfAcronym(B216)</f>
        <v>Itfc</v>
      </c>
      <c r="E216" s="3" t="str">
        <f xml:space="preserve"> CONCATENATE("map.add(new MatchingMnemonic(", CHAR(34), D216,  CHAR(34), ", ", "new MatchingMnemonicDetail(", CHAR(34), B216, CHAR(34), ", ", CHAR(34), C216, CHAR(34),")));")</f>
        <v>map.add(new MatchingMnemonic("Itfc", new MatchingMnemonicDetail("It’s time for clarity", "KPMG")));</v>
      </c>
    </row>
    <row r="217" spans="1:5" x14ac:dyDescent="0.25">
      <c r="A217" s="2" t="s">
        <v>615</v>
      </c>
      <c r="B217" s="2" t="str">
        <f>SUBSTITUTE(SUBSTITUTE(SUBSTITUTE(SUBSTITUTE(SUBSTITUTE(SUBSTITUTE(A217,"""",""), "“", ""),  "”", ""), ".", ""), "–", ""), "‘", "")</f>
        <v>It’s the real thing</v>
      </c>
      <c r="C217" s="2" t="s">
        <v>124</v>
      </c>
      <c r="D217" s="3" t="str">
        <f>GetFirstLettersOfAcronym(B217)</f>
        <v>Itrt</v>
      </c>
      <c r="E217" s="3" t="str">
        <f xml:space="preserve"> CONCATENATE("map.add(new MatchingMnemonic(", CHAR(34), D217,  CHAR(34), ", ", "new MatchingMnemonicDetail(", CHAR(34), B217, CHAR(34), ", ", CHAR(34), C217, CHAR(34),")));")</f>
        <v>map.add(new MatchingMnemonic("Itrt", new MatchingMnemonicDetail("It’s the real thing", "Coca-Cola")));</v>
      </c>
    </row>
    <row r="218" spans="1:5" x14ac:dyDescent="0.25">
      <c r="A218" t="s">
        <v>810</v>
      </c>
      <c r="B218" s="2" t="str">
        <f>SUBSTITUTE(SUBSTITUTE(SUBSTITUTE(SUBSTITUTE(SUBSTITUTE(SUBSTITUTE(TRIM(A218),"""",""), "“", ""),  "”", ""), ".", ""), "–", ""), "‘", "")</f>
        <v>I think therefore IBM</v>
      </c>
      <c r="C218" t="s">
        <v>253</v>
      </c>
      <c r="D218" s="3" t="str">
        <f>GetFirstLettersOfAcronym(B218)</f>
        <v>IttI</v>
      </c>
      <c r="E218" s="3" t="str">
        <f xml:space="preserve"> CONCATENATE("map.add(new MatchingMnemonic(", CHAR(34), D218,  CHAR(34), ", ", "new MatchingMnemonicDetail(", CHAR(34), B218, CHAR(34), ", ", CHAR(34), C218, CHAR(34),")));")</f>
        <v>map.add(new MatchingMnemonic("IttI", new MatchingMnemonicDetail("I think therefore IBM", "IBM")));</v>
      </c>
    </row>
    <row r="219" spans="1:5" ht="28.5" x14ac:dyDescent="0.25">
      <c r="A219" s="2" t="s">
        <v>629</v>
      </c>
      <c r="B219" s="2" t="str">
        <f>SUBSTITUTE(SUBSTITUTE(SUBSTITUTE(SUBSTITUTE(SUBSTITUTE(SUBSTITUTE(A219,"""",""), "“", ""),  "”", ""), ".", ""), "–", ""), "‘", "")</f>
        <v>In the valley of the jolly--ho-ho-ho!--Green Giant</v>
      </c>
      <c r="C219" s="2" t="s">
        <v>630</v>
      </c>
      <c r="D219" s="3" t="str">
        <f>GetFirstLettersOfAcronym(B219)</f>
        <v>ItvotjG</v>
      </c>
      <c r="E219" s="3" t="str">
        <f xml:space="preserve"> CONCATENATE("map.add(new MatchingMnemonic(", CHAR(34), D219,  CHAR(34), ", ", "new MatchingMnemonicDetail(", CHAR(34), B219, CHAR(34), ", ", CHAR(34), C219, CHAR(34),")));")</f>
        <v>map.add(new MatchingMnemonic("ItvotjG", new MatchingMnemonicDetail("In the valley of the jolly--ho-ho-ho!--Green Giant", "Green Giant")));</v>
      </c>
    </row>
    <row r="220" spans="1:5" x14ac:dyDescent="0.25">
      <c r="A220" s="4" t="s">
        <v>87</v>
      </c>
      <c r="B220" s="2" t="str">
        <f>SUBSTITUTE(SUBSTITUTE(SUBSTITUTE(SUBSTITUTE(SUBSTITUTE(SUBSTITUTE(A220,"""",""), "“", ""),  "”", ""), ".", ""), "–", ""), "‘", "")</f>
        <v>I’d walk a mile for a camel</v>
      </c>
      <c r="C220" s="4" t="s">
        <v>88</v>
      </c>
      <c r="D220" s="3" t="str">
        <f>GetFirstLettersOfAcronym(B220)</f>
        <v>Iwamfac</v>
      </c>
      <c r="E220" s="3" t="str">
        <f xml:space="preserve"> CONCATENATE("map.add(new MatchingMnemonic(", CHAR(34), D220,  CHAR(34), ", ", "new MatchingMnemonicDetail(", CHAR(34), B220, CHAR(34), ", ", CHAR(34), C220, CHAR(34),")));")</f>
        <v>map.add(new MatchingMnemonic("Iwamfac", new MatchingMnemonicDetail("I’d walk a mile for a camel", "Camel")));</v>
      </c>
    </row>
    <row r="221" spans="1:5" x14ac:dyDescent="0.25">
      <c r="A221" s="4" t="s">
        <v>514</v>
      </c>
      <c r="B221" s="2" t="str">
        <f>SUBSTITUTE(SUBSTITUTE(SUBSTITUTE(SUBSTITUTE(SUBSTITUTE(SUBSTITUTE(A221,"""",""), "“", ""),  "”", ""), ".", ""), "–", ""), "‘", "")</f>
        <v>Invest with confidence</v>
      </c>
      <c r="C221" s="4" t="s">
        <v>515</v>
      </c>
      <c r="D221" s="3" t="str">
        <f>GetFirstLettersOfAcronym(B221)</f>
        <v>Iwc</v>
      </c>
      <c r="E221" s="3" t="str">
        <f xml:space="preserve"> CONCATENATE("map.add(new MatchingMnemonic(", CHAR(34), D221,  CHAR(34), ", ", "new MatchingMnemonicDetail(", CHAR(34), B221, CHAR(34), ", ", CHAR(34), C221, CHAR(34),")));")</f>
        <v>map.add(new MatchingMnemonic("Iwc", new MatchingMnemonicDetail("Invest with confidence", "T. Rowe Price")));</v>
      </c>
    </row>
    <row r="222" spans="1:5" x14ac:dyDescent="0.25">
      <c r="A222" s="2" t="s">
        <v>659</v>
      </c>
      <c r="B222" s="2" t="str">
        <f>SUBSTITUTE(SUBSTITUTE(SUBSTITUTE(SUBSTITUTE(SUBSTITUTE(SUBSTITUTE(A222,"""",""), "“", ""),  "”", ""), ".", ""), "–", ""), "‘", "")</f>
        <v>I wish I were an Oscar Mayer Wiener</v>
      </c>
      <c r="C222" s="2" t="s">
        <v>660</v>
      </c>
      <c r="D222" s="3" t="str">
        <f>GetFirstLettersOfAcronym(B222)</f>
        <v>IwIwaOMW</v>
      </c>
      <c r="E222" s="3" t="str">
        <f xml:space="preserve"> CONCATENATE("map.add(new MatchingMnemonic(", CHAR(34), D222,  CHAR(34), ", ", "new MatchingMnemonicDetail(", CHAR(34), B222, CHAR(34), ", ", CHAR(34), C222, CHAR(34),")));")</f>
        <v>map.add(new MatchingMnemonic("IwIwaOMW", new MatchingMnemonicDetail("I wish I were an Oscar Mayer Wiener", "Oscar Mayer")));</v>
      </c>
    </row>
    <row r="223" spans="1:5" x14ac:dyDescent="0.25">
      <c r="A223" s="2" t="s">
        <v>313</v>
      </c>
      <c r="B223" s="2" t="str">
        <f>SUBSTITUTE(SUBSTITUTE(SUBSTITUTE(SUBSTITUTE(SUBSTITUTE(SUBSTITUTE(A223,"""",""), "“", ""),  "”", ""), ".", ""), "–", ""), "‘", "")</f>
        <v>I want my Maypo</v>
      </c>
      <c r="C223" s="2" t="s">
        <v>314</v>
      </c>
      <c r="D223" s="3" t="str">
        <f>GetFirstLettersOfAcronym(B223)</f>
        <v>IwmM</v>
      </c>
      <c r="E223" s="3" t="str">
        <f xml:space="preserve"> CONCATENATE("map.add(new MatchingMnemonic(", CHAR(34), D223,  CHAR(34), ", ", "new MatchingMnemonicDetail(", CHAR(34), B223, CHAR(34), ", ", CHAR(34), C223, CHAR(34),")));")</f>
        <v>map.add(new MatchingMnemonic("IwmM", new MatchingMnemonicDetail("I want my Maypo", "Maypo")));</v>
      </c>
    </row>
    <row r="224" spans="1:5" x14ac:dyDescent="0.25">
      <c r="A224" t="s">
        <v>761</v>
      </c>
      <c r="B224" s="2" t="str">
        <f>SUBSTITUTE(SUBSTITUTE(SUBSTITUTE(SUBSTITUTE(SUBSTITUTE(SUBSTITUTE(TRIM(A224),"""",""), "“", ""),  "”", ""), ".", ""), "–", ""), "‘", "")</f>
        <v>It's what your right arm's for</v>
      </c>
      <c r="C224" t="s">
        <v>762</v>
      </c>
      <c r="D224" s="3" t="str">
        <f>GetFirstLettersOfAcronym(B224)</f>
        <v>Iwyraf</v>
      </c>
      <c r="E224" s="3" t="str">
        <f xml:space="preserve"> CONCATENATE("map.add(new MatchingMnemonic(", CHAR(34), D224,  CHAR(34), ", ", "new MatchingMnemonicDetail(", CHAR(34), B224, CHAR(34), ", ", CHAR(34), C224, CHAR(34),")));")</f>
        <v>map.add(new MatchingMnemonic("Iwyraf", new MatchingMnemonicDetail("It's what your right arm's for", "Courage Tavern Ale")));</v>
      </c>
    </row>
    <row r="225" spans="1:5" x14ac:dyDescent="0.25">
      <c r="A225" s="2" t="s">
        <v>652</v>
      </c>
      <c r="B225" s="2" t="str">
        <f>SUBSTITUTE(SUBSTITUTE(SUBSTITUTE(SUBSTITUTE(SUBSTITUTE(SUBSTITUTE(A225,"""",""), "“", ""),  "”", ""), ".", ""), "–", ""), "‘", "")</f>
        <v>If you’ve got the time, we’ve got the beer</v>
      </c>
      <c r="C225" s="2" t="s">
        <v>336</v>
      </c>
      <c r="D225" s="3" t="str">
        <f>GetFirstLettersOfAcronym(B225)</f>
        <v>Iygttwgtb</v>
      </c>
      <c r="E225" s="3" t="str">
        <f xml:space="preserve"> CONCATENATE("map.add(new MatchingMnemonic(", CHAR(34), D225,  CHAR(34), ", ", "new MatchingMnemonicDetail(", CHAR(34), B225, CHAR(34), ", ", CHAR(34), C225, CHAR(34),")));")</f>
        <v>map.add(new MatchingMnemonic("Iygttwgtb", new MatchingMnemonicDetail("If you’ve got the time, we’ve got the beer", "Miller Beer")));</v>
      </c>
    </row>
    <row r="226" spans="1:5" ht="28.5" x14ac:dyDescent="0.25">
      <c r="A226" s="4" t="s">
        <v>131</v>
      </c>
      <c r="B226" s="2" t="str">
        <f>SUBSTITUTE(SUBSTITUTE(SUBSTITUTE(SUBSTITUTE(SUBSTITUTE(SUBSTITUTE(A226,"""",""), "“", ""),  "”", ""), ".", ""), "–", ""), "‘", "")</f>
        <v>If you want to capture someone’s attention, whisper</v>
      </c>
      <c r="C226" s="4" t="s">
        <v>132</v>
      </c>
      <c r="D226" s="3" t="str">
        <f>GetFirstLettersOfAcronym(B226)</f>
        <v>Iywtcsaw</v>
      </c>
      <c r="E226" s="3" t="str">
        <f xml:space="preserve"> CONCATENATE("map.add(new MatchingMnemonic(", CHAR(34), D226,  CHAR(34), ", ", "new MatchingMnemonicDetail(", CHAR(34), B226, CHAR(34), ", ", CHAR(34), C226, CHAR(34),")));")</f>
        <v>map.add(new MatchingMnemonic("Iywtcsaw", new MatchingMnemonicDetail("If you want to capture someone’s attention, whisper", "Coty Perfume")));</v>
      </c>
    </row>
    <row r="227" spans="1:5" x14ac:dyDescent="0.25">
      <c r="A227" t="s">
        <v>807</v>
      </c>
      <c r="B227" s="2" t="str">
        <f>SUBSTITUTE(SUBSTITUTE(SUBSTITUTE(SUBSTITUTE(SUBSTITUTE(SUBSTITUTE(TRIM(A227),"""",""), "“", ""),  "”", ""), ".", ""), "–", ""), "‘", "")</f>
        <v>If you want to get ahead, get a hat</v>
      </c>
      <c r="C227" t="s">
        <v>907</v>
      </c>
      <c r="D227" s="3" t="str">
        <f>GetFirstLettersOfAcronym(B227)</f>
        <v>Iywtgagah</v>
      </c>
      <c r="E227" s="3" t="str">
        <f xml:space="preserve"> CONCATENATE("map.add(new MatchingMnemonic(", CHAR(34), D227,  CHAR(34), ", ", "new MatchingMnemonicDetail(", CHAR(34), B227, CHAR(34), ", ", CHAR(34), C227, CHAR(34),")));")</f>
        <v>map.add(new MatchingMnemonic("Iywtgagah", new MatchingMnemonicDetail("If you want to get ahead, get a hat", "Hat Council")));</v>
      </c>
    </row>
    <row r="228" spans="1:5" x14ac:dyDescent="0.25">
      <c r="A228" s="2" t="s">
        <v>261</v>
      </c>
      <c r="B228" s="2" t="str">
        <f>SUBSTITUTE(SUBSTITUTE(SUBSTITUTE(SUBSTITUTE(SUBSTITUTE(SUBSTITUTE(A228,"""",""), "“", ""),  "”", ""), ".", ""), "–", ""), "‘", "")</f>
        <v>Jack’s back!</v>
      </c>
      <c r="C228" s="2" t="s">
        <v>262</v>
      </c>
      <c r="D228" s="3" t="str">
        <f>GetFirstLettersOfAcronym(B228)</f>
        <v>Jb</v>
      </c>
      <c r="E228" s="3" t="str">
        <f xml:space="preserve"> CONCATENATE("map.add(new MatchingMnemonic(", CHAR(34), D228,  CHAR(34), ", ", "new MatchingMnemonicDetail(", CHAR(34), B228, CHAR(34), ", ", CHAR(34), C228, CHAR(34),")));")</f>
        <v>map.add(new MatchingMnemonic("Jb", new MatchingMnemonicDetail("Jack’s back!", "Jack in the Box")));</v>
      </c>
    </row>
    <row r="229" spans="1:5" x14ac:dyDescent="0.25">
      <c r="A229" s="4" t="s">
        <v>366</v>
      </c>
      <c r="B229" s="2" t="str">
        <f>SUBSTITUTE(SUBSTITUTE(SUBSTITUTE(SUBSTITUTE(SUBSTITUTE(SUBSTITUTE(A229,"""",""), "“", ""),  "”", ""), ".", ""), "–", ""), "‘", "")</f>
        <v>Just do it</v>
      </c>
      <c r="C229" s="4" t="s">
        <v>367</v>
      </c>
      <c r="D229" s="3" t="str">
        <f>GetFirstLettersOfAcronym(B229)</f>
        <v>Jdi</v>
      </c>
      <c r="E229" s="3" t="str">
        <f xml:space="preserve"> CONCATENATE("map.add(new MatchingMnemonic(", CHAR(34), D229,  CHAR(34), ", ", "new MatchingMnemonicDetail(", CHAR(34), B229, CHAR(34), ", ", CHAR(34), C229, CHAR(34),")));")</f>
        <v>map.add(new MatchingMnemonic("Jdi", new MatchingMnemonicDetail("Just do it", "Nike")));</v>
      </c>
    </row>
    <row r="230" spans="1:5" x14ac:dyDescent="0.25">
      <c r="A230" s="4" t="s">
        <v>620</v>
      </c>
      <c r="B230" s="2" t="str">
        <f>SUBSTITUTE(SUBSTITUTE(SUBSTITUTE(SUBSTITUTE(SUBSTITUTE(SUBSTITUTE(A230,"""",""), "“", ""),  "”", ""), ".", ""), "–", ""), "‘", "")</f>
        <v>Just for the fun of it, Diet Coke</v>
      </c>
      <c r="C230" s="4" t="s">
        <v>621</v>
      </c>
      <c r="D230" s="3" t="str">
        <f>GetFirstLettersOfAcronym(B230)</f>
        <v>JftfoiDC</v>
      </c>
      <c r="E230" s="3" t="str">
        <f xml:space="preserve"> CONCATENATE("map.add(new MatchingMnemonic(", CHAR(34), D230,  CHAR(34), ", ", "new MatchingMnemonicDetail(", CHAR(34), B230, CHAR(34), ", ", CHAR(34), C230, CHAR(34),")));")</f>
        <v>map.add(new MatchingMnemonic("JftfoiDC", new MatchingMnemonicDetail("Just for the fun of it, Diet Coke", "Diet Coke")));</v>
      </c>
    </row>
    <row r="231" spans="1:5" x14ac:dyDescent="0.25">
      <c r="A231" s="2" t="s">
        <v>622</v>
      </c>
      <c r="B231" s="2" t="str">
        <f>SUBSTITUTE(SUBSTITUTE(SUBSTITUTE(SUBSTITUTE(SUBSTITUTE(SUBSTITUTE(A231,"""",""), "“", ""),  "”", ""), ".", ""), "–", ""), "‘", "")</f>
        <v>Just for the taste of it, Diet Coke</v>
      </c>
      <c r="C231" s="2" t="s">
        <v>621</v>
      </c>
      <c r="D231" s="3" t="str">
        <f>GetFirstLettersOfAcronym(B231)</f>
        <v>JfttoiDC</v>
      </c>
      <c r="E231" s="3" t="str">
        <f xml:space="preserve"> CONCATENATE("map.add(new MatchingMnemonic(", CHAR(34), D231,  CHAR(34), ", ", "new MatchingMnemonicDetail(", CHAR(34), B231, CHAR(34), ", ", CHAR(34), C231, CHAR(34),")));")</f>
        <v>map.add(new MatchingMnemonic("JfttoiDC", new MatchingMnemonicDetail("Just for the taste of it, Diet Coke", "Diet Coke")));</v>
      </c>
    </row>
    <row r="232" spans="1:5" ht="28.5" x14ac:dyDescent="0.25">
      <c r="A232" s="2" t="s">
        <v>634</v>
      </c>
      <c r="B232" s="2" t="str">
        <f>SUBSTITUTE(SUBSTITUTE(SUBSTITUTE(SUBSTITUTE(SUBSTITUTE(SUBSTITUTE(A232,"""",""), "“", ""),  "”", ""), ".", ""), "–", ""), "‘", "")</f>
        <v>Jell-O makes me mellow and the wiggle makes me giggle</v>
      </c>
      <c r="C232" s="2" t="s">
        <v>266</v>
      </c>
      <c r="D232" s="3" t="str">
        <f>GetFirstLettersOfAcronym(B232)</f>
        <v>Jmmmatwmmg</v>
      </c>
      <c r="E232" s="3" t="str">
        <f xml:space="preserve"> CONCATENATE("map.add(new MatchingMnemonic(", CHAR(34), D232,  CHAR(34), ", ", "new MatchingMnemonicDetail(", CHAR(34), B232, CHAR(34), ", ", CHAR(34), C232, CHAR(34),")));")</f>
        <v>map.add(new MatchingMnemonic("Jmmmatwmmg", new MatchingMnemonicDetail("Jell-O makes me mellow and the wiggle makes me giggle", "Jell-O")));</v>
      </c>
    </row>
    <row r="233" spans="1:5" x14ac:dyDescent="0.25">
      <c r="A233" t="s">
        <v>853</v>
      </c>
      <c r="B233" s="2" t="str">
        <f>SUBSTITUTE(SUBSTITUTE(SUBSTITUTE(SUBSTITUTE(SUBSTITUTE(SUBSTITUTE(TRIM(A233),"""",""), "“", ""),  "”", ""), ".", ""), "–", ""), "‘", "")</f>
        <v>Keeps going and going and going</v>
      </c>
      <c r="C233" t="s">
        <v>902</v>
      </c>
      <c r="D233" s="3" t="str">
        <f>GetFirstLettersOfAcronym(B233)</f>
        <v>Kgagag</v>
      </c>
      <c r="E233" s="3" t="str">
        <f xml:space="preserve"> CONCATENATE("map.add(new MatchingMnemonic(", CHAR(34), D233,  CHAR(34), ", ", "new MatchingMnemonicDetail(", CHAR(34), B233, CHAR(34), ", ", CHAR(34), C233, CHAR(34),")));")</f>
        <v>map.add(new MatchingMnemonic("Kgagag", new MatchingMnemonicDetail("Keeps going and going and going", "Energizer")));</v>
      </c>
    </row>
    <row r="234" spans="1:5" x14ac:dyDescent="0.25">
      <c r="A234" s="2" t="s">
        <v>281</v>
      </c>
      <c r="B234" s="2" t="str">
        <f>SUBSTITUTE(SUBSTITUTE(SUBSTITUTE(SUBSTITUTE(SUBSTITUTE(SUBSTITUTE(A234,"""",""), "“", ""),  "”", ""), ".", ""), "–", ""), "‘", "")</f>
        <v>Kid tested Mother approved</v>
      </c>
      <c r="C234" s="2" t="s">
        <v>282</v>
      </c>
      <c r="D234" s="3" t="str">
        <f>GetFirstLettersOfAcronym(B234)</f>
        <v>KtMa</v>
      </c>
      <c r="E234" s="3" t="str">
        <f xml:space="preserve"> CONCATENATE("map.add(new MatchingMnemonic(", CHAR(34), D234,  CHAR(34), ", ", "new MatchingMnemonicDetail(", CHAR(34), B234, CHAR(34), ", ", CHAR(34), C234, CHAR(34),")));")</f>
        <v>map.add(new MatchingMnemonic("KtMa", new MatchingMnemonicDetail("Kid tested Mother approved", "Kix Cereal")));</v>
      </c>
    </row>
    <row r="235" spans="1:5" x14ac:dyDescent="0.25">
      <c r="A235" t="s">
        <v>863</v>
      </c>
      <c r="B235" s="2" t="str">
        <f>SUBSTITUTE(SUBSTITUTE(SUBSTITUTE(SUBSTITUTE(SUBSTITUTE(SUBSTITUTE(TRIM(A235),"""",""), "“", ""),  "”", ""), ".", ""), "–", ""), "‘", "")</f>
        <v>Keep that schoolgirl complexion</v>
      </c>
      <c r="C235" t="s">
        <v>923</v>
      </c>
      <c r="D235" s="3" t="str">
        <f>GetFirstLettersOfAcronym(B235)</f>
        <v>Ktsc</v>
      </c>
      <c r="E235" s="3" t="str">
        <f xml:space="preserve"> CONCATENATE("map.add(new MatchingMnemonic(", CHAR(34), D235,  CHAR(34), ", ", "new MatchingMnemonicDetail(", CHAR(34), B235, CHAR(34), ", ", CHAR(34), C235, CHAR(34),")));")</f>
        <v>map.add(new MatchingMnemonic("Ktsc", new MatchingMnemonicDetail("Keep that schoolgirl complexion", "Palmolive Soap")));</v>
      </c>
    </row>
    <row r="236" spans="1:5" x14ac:dyDescent="0.25">
      <c r="A236" s="4" t="s">
        <v>683</v>
      </c>
      <c r="B236" s="2" t="str">
        <f>SUBSTITUTE(SUBSTITUTE(SUBSTITUTE(SUBSTITUTE(SUBSTITUTE(SUBSTITUTE(A236,"""",""), "“", ""),  "”", ""), ".", ""), "–", ""), "‘", "")</f>
        <v>Like a good neighbor, State Farm is there</v>
      </c>
      <c r="C236" s="4" t="s">
        <v>684</v>
      </c>
      <c r="D236" s="3" t="str">
        <f>GetFirstLettersOfAcronym(B236)</f>
        <v>LagnSFit</v>
      </c>
      <c r="E236" s="3" t="str">
        <f xml:space="preserve"> CONCATENATE("map.add(new MatchingMnemonic(", CHAR(34), D236,  CHAR(34), ", ", "new MatchingMnemonicDetail(", CHAR(34), B236, CHAR(34), ", ", CHAR(34), C236, CHAR(34),")));")</f>
        <v>map.add(new MatchingMnemonic("LagnSFit", new MatchingMnemonicDetail("Like a good neighbor, State Farm is there", "State Farm")));</v>
      </c>
    </row>
    <row r="237" spans="1:5" x14ac:dyDescent="0.25">
      <c r="A237" s="4" t="s">
        <v>103</v>
      </c>
      <c r="B237" s="2" t="str">
        <f>SUBSTITUTE(SUBSTITUTE(SUBSTITUTE(SUBSTITUTE(SUBSTITUTE(SUBSTITUTE(A237,"""",""), "“", ""),  "”", ""), ".", ""), "–", ""), "‘", "")</f>
        <v>Like a rock</v>
      </c>
      <c r="C237" s="4" t="s">
        <v>104</v>
      </c>
      <c r="D237" s="3" t="str">
        <f>GetFirstLettersOfAcronym(B237)</f>
        <v>Lar</v>
      </c>
      <c r="E237" s="3" t="str">
        <f xml:space="preserve"> CONCATENATE("map.add(new MatchingMnemonic(", CHAR(34), D237,  CHAR(34), ", ", "new MatchingMnemonicDetail(", CHAR(34), B237, CHAR(34), ", ", CHAR(34), C237, CHAR(34),")));")</f>
        <v>map.add(new MatchingMnemonic("Lar", new MatchingMnemonicDetail("Like a rock", "Chevy Trucks")));</v>
      </c>
    </row>
    <row r="238" spans="1:5" x14ac:dyDescent="0.25">
      <c r="A238" s="2" t="s">
        <v>423</v>
      </c>
      <c r="B238" s="2" t="str">
        <f>SUBSTITUTE(SUBSTITUTE(SUBSTITUTE(SUBSTITUTE(SUBSTITUTE(SUBSTITUTE(A238,"""",""), "“", ""),  "”", ""), ".", ""), "–", ""), "‘", "")</f>
        <v>Lifts and separates</v>
      </c>
      <c r="C238" s="2" t="s">
        <v>424</v>
      </c>
      <c r="D238" s="3" t="str">
        <f>GetFirstLettersOfAcronym(B238)</f>
        <v>Las</v>
      </c>
      <c r="E238" s="3" t="str">
        <f xml:space="preserve"> CONCATENATE("map.add(new MatchingMnemonic(", CHAR(34), D238,  CHAR(34), ", ", "new MatchingMnemonicDetail(", CHAR(34), B238, CHAR(34), ", ", CHAR(34), C238, CHAR(34),")));")</f>
        <v>map.add(new MatchingMnemonic("Las", new MatchingMnemonicDetail("Lifts and separates", "Playtex Cross-Your-Heart Bra")));</v>
      </c>
    </row>
    <row r="239" spans="1:5" x14ac:dyDescent="0.25">
      <c r="A239" s="4" t="s">
        <v>138</v>
      </c>
      <c r="B239" s="2" t="str">
        <f>SUBSTITUTE(SUBSTITUTE(SUBSTITUTE(SUBSTITUTE(SUBSTITUTE(SUBSTITUTE(A239,"""",""), "“", ""),  "”", ""), ".", ""), "–", ""), "‘", "")</f>
        <v>Love it for life</v>
      </c>
      <c r="C239" s="4" t="s">
        <v>139</v>
      </c>
      <c r="D239" s="3" t="str">
        <f>GetFirstLettersOfAcronym(B239)</f>
        <v>Lifl</v>
      </c>
      <c r="E239" s="3" t="str">
        <f xml:space="preserve"> CONCATENATE("map.add(new MatchingMnemonic(", CHAR(34), D239,  CHAR(34), ", ", "new MatchingMnemonicDetail(", CHAR(34), B239, CHAR(34), ", ", CHAR(34), C239, CHAR(34),")));")</f>
        <v>map.add(new MatchingMnemonic("Lifl", new MatchingMnemonicDetail("Love it for life", "Dannon Yogurt")));</v>
      </c>
    </row>
    <row r="240" spans="1:5" x14ac:dyDescent="0.25">
      <c r="A240" s="3" t="s">
        <v>718</v>
      </c>
      <c r="B240" s="2" t="str">
        <f>SUBSTITUTE(SUBSTITUTE(SUBSTITUTE(SUBSTITUTE(SUBSTITUTE(SUBSTITUTE(A240,"""",""), "“", ""),  "”", ""), ".", ""), "–", ""), "‘", "")</f>
        <v xml:space="preserve"> Live in your world Play in ours</v>
      </c>
      <c r="C240" s="3" t="s">
        <v>717</v>
      </c>
      <c r="D240" s="3" t="str">
        <f>GetFirstLettersOfAcronym(B240)</f>
        <v>LiywPio</v>
      </c>
      <c r="E240" s="3" t="str">
        <f xml:space="preserve"> CONCATENATE("map.add(new MatchingMnemonic(", CHAR(34), D240,  CHAR(34), ", ", "new MatchingMnemonicDetail(", CHAR(34), B240, CHAR(34), ", ", CHAR(34), C240, CHAR(34),")));")</f>
        <v>map.add(new MatchingMnemonic("LiywPio", new MatchingMnemonicDetail(" Live in your world Play in ours", "PlayStation ")));</v>
      </c>
    </row>
    <row r="241" spans="1:5" x14ac:dyDescent="0.25">
      <c r="A241" s="4" t="s">
        <v>55</v>
      </c>
      <c r="B241" s="2" t="str">
        <f>SUBSTITUTE(SUBSTITUTE(SUBSTITUTE(SUBSTITUTE(SUBSTITUTE(SUBSTITUTE(A241,"""",""), "“", ""),  "”", ""), ".", ""), "–", ""), "‘", "")</f>
        <v>Life’s messy Clean it up!</v>
      </c>
      <c r="C241" s="4" t="s">
        <v>54</v>
      </c>
      <c r="D241" s="3" t="str">
        <f>GetFirstLettersOfAcronym(B241)</f>
        <v>LmCiu</v>
      </c>
      <c r="E241" s="3" t="str">
        <f xml:space="preserve"> CONCATENATE("map.add(new MatchingMnemonic(", CHAR(34), D241,  CHAR(34), ", ", "new MatchingMnemonicDetail(", CHAR(34), B241, CHAR(34), ", ", CHAR(34), C241, CHAR(34),")));")</f>
        <v>map.add(new MatchingMnemonic("LmCiu", new MatchingMnemonicDetail("Life’s messy Clean it up!", "Bissell")));</v>
      </c>
    </row>
    <row r="242" spans="1:5" x14ac:dyDescent="0.25">
      <c r="A242" s="4" t="s">
        <v>135</v>
      </c>
      <c r="B242" s="2" t="str">
        <f>SUBSTITUTE(SUBSTITUTE(SUBSTITUTE(SUBSTITUTE(SUBSTITUTE(SUBSTITUTE(A242,"""",""), "“", ""),  "”", ""), ".", ""), "–", ""), "‘", "")</f>
        <v>Look, Ma, no cavities!</v>
      </c>
      <c r="C242" s="4" t="s">
        <v>134</v>
      </c>
      <c r="D242" s="3" t="str">
        <f>GetFirstLettersOfAcronym(B242)</f>
        <v>LMnc</v>
      </c>
      <c r="E242" s="3" t="str">
        <f xml:space="preserve"> CONCATENATE("map.add(new MatchingMnemonic(", CHAR(34), D242,  CHAR(34), ", ", "new MatchingMnemonicDetail(", CHAR(34), B242, CHAR(34), ", ", CHAR(34), C242, CHAR(34),")));")</f>
        <v>map.add(new MatchingMnemonic("LMnc", new MatchingMnemonicDetail("Look, Ma, no cavities!", "Crest")));</v>
      </c>
    </row>
    <row r="243" spans="1:5" x14ac:dyDescent="0.25">
      <c r="A243" s="2" t="s">
        <v>32</v>
      </c>
      <c r="B243" s="2" t="str">
        <f>SUBSTITUTE(SUBSTITUTE(SUBSTITUTE(SUBSTITUTE(SUBSTITUTE(SUBSTITUTE(A243,"""",""), "“", ""),  "”", ""), ".", ""), "–", ""), "‘", "")</f>
        <v>Legendary reliability</v>
      </c>
      <c r="C243" s="2" t="s">
        <v>33</v>
      </c>
      <c r="D243" s="3" t="str">
        <f>GetFirstLettersOfAcronym(B243)</f>
        <v>Lr</v>
      </c>
      <c r="E243" s="3" t="str">
        <f xml:space="preserve"> CONCATENATE("map.add(new MatchingMnemonic(", CHAR(34), D243,  CHAR(34), ", ", "new MatchingMnemonicDetail(", CHAR(34), B243, CHAR(34), ", ", CHAR(34), C243, CHAR(34),")));")</f>
        <v>map.add(new MatchingMnemonic("Lr", new MatchingMnemonicDetail("Legendary reliability", "APC")));</v>
      </c>
    </row>
    <row r="244" spans="1:5" x14ac:dyDescent="0.25">
      <c r="A244" s="2" t="s">
        <v>113</v>
      </c>
      <c r="B244" s="2" t="str">
        <f>SUBSTITUTE(SUBSTITUTE(SUBSTITUTE(SUBSTITUTE(SUBSTITUTE(SUBSTITUTE(A244,"""",""), "“", ""),  "”", ""), ".", ""), "–", ""), "‘", "")</f>
        <v>Live richly</v>
      </c>
      <c r="C244" s="2" t="s">
        <v>114</v>
      </c>
      <c r="D244" s="3" t="str">
        <f>GetFirstLettersOfAcronym(B244)</f>
        <v>Lr</v>
      </c>
      <c r="E244" s="3" t="str">
        <f xml:space="preserve"> CONCATENATE("map.add(new MatchingMnemonic(", CHAR(34), D244,  CHAR(34), ", ", "new MatchingMnemonicDetail(", CHAR(34), B244, CHAR(34), ", ", CHAR(34), C244, CHAR(34),")));")</f>
        <v>map.add(new MatchingMnemonic("Lr", new MatchingMnemonicDetail("Live richly", "Citi")));</v>
      </c>
    </row>
    <row r="245" spans="1:5" x14ac:dyDescent="0.25">
      <c r="A245" s="4" t="s">
        <v>213</v>
      </c>
      <c r="B245" s="2" t="str">
        <f>SUBSTITUTE(SUBSTITUTE(SUBSTITUTE(SUBSTITUTE(SUBSTITUTE(SUBSTITUTE(A245,"""",""), "“", ""),  "”", ""), ".", ""), "–", ""), "‘", "")</f>
        <v>Look sharp, feel sharp</v>
      </c>
      <c r="C245" s="4" t="s">
        <v>214</v>
      </c>
      <c r="D245" s="3" t="str">
        <f>GetFirstLettersOfAcronym(B245)</f>
        <v>Lsfs</v>
      </c>
      <c r="E245" s="3" t="str">
        <f xml:space="preserve"> CONCATENATE("map.add(new MatchingMnemonic(", CHAR(34), D245,  CHAR(34), ", ", "new MatchingMnemonicDetail(", CHAR(34), B245, CHAR(34), ", ", CHAR(34), C245, CHAR(34),")));")</f>
        <v>map.add(new MatchingMnemonic("Lsfs", new MatchingMnemonicDetail("Look sharp, feel sharp", "Gillette")));</v>
      </c>
    </row>
    <row r="246" spans="1:5" x14ac:dyDescent="0.25">
      <c r="A246" s="2" t="s">
        <v>301</v>
      </c>
      <c r="B246" s="2" t="str">
        <f>SUBSTITUTE(SUBSTITUTE(SUBSTITUTE(SUBSTITUTE(SUBSTITUTE(SUBSTITUTE(A246,"""",""), "“", ""),  "”", ""), ".", ""), "–", ""), "‘", "")</f>
        <v>Lucky Strike means fine tobacco</v>
      </c>
      <c r="C246" s="2" t="s">
        <v>302</v>
      </c>
      <c r="D246" s="3" t="str">
        <f>GetFirstLettersOfAcronym(B246)</f>
        <v>LSmft</v>
      </c>
      <c r="E246" s="3" t="str">
        <f xml:space="preserve"> CONCATENATE("map.add(new MatchingMnemonic(", CHAR(34), D246,  CHAR(34), ", ", "new MatchingMnemonicDetail(", CHAR(34), B246, CHAR(34), ", ", CHAR(34), C246, CHAR(34),")));")</f>
        <v>map.add(new MatchingMnemonic("LSmft", new MatchingMnemonicDetail("Lucky Strike means fine tobacco", "Lucky Strike")));</v>
      </c>
    </row>
    <row r="247" spans="1:5" x14ac:dyDescent="0.25">
      <c r="A247" t="s">
        <v>826</v>
      </c>
      <c r="B247" s="2" t="str">
        <f>SUBSTITUTE(SUBSTITUTE(SUBSTITUTE(SUBSTITUTE(SUBSTITUTE(SUBSTITUTE(TRIM(A247),"""",""), "“", ""),  "”", ""), ".", ""), "–", ""), "‘", "")</f>
        <v>Lipsmackin’ thirstquenchin’ acetastin’ motivatin’ goodbuzzin’ cooltalkin’ highwalkin’ fastlivin’ vergivin’coolfizzin’ Pepsi</v>
      </c>
      <c r="C247" t="s">
        <v>926</v>
      </c>
      <c r="D247" s="3" t="str">
        <f>GetFirstLettersOfAcronym(B247)</f>
        <v>LtamgchfvP</v>
      </c>
      <c r="E247" s="3" t="str">
        <f xml:space="preserve"> CONCATENATE("map.add(new MatchingMnemonic(", CHAR(34), D247,  CHAR(34), ", ", "new MatchingMnemonicDetail(", CHAR(34), B247, CHAR(34), ", ", CHAR(34), C247, CHAR(34),")));")</f>
        <v>map.add(new MatchingMnemonic("LtamgchfvP", new MatchingMnemonicDetail("Lipsmackin’ thirstquenchin’ acetastin’ motivatin’ goodbuzzin’ cooltalkin’ highwalkin’ fastlivin’ vergivin’coolfizzin’ Pepsi", "Pepsi Cola")));</v>
      </c>
    </row>
    <row r="248" spans="1:5" x14ac:dyDescent="0.25">
      <c r="A248" s="4" t="s">
        <v>330</v>
      </c>
      <c r="B248" s="2" t="str">
        <f>SUBSTITUTE(SUBSTITUTE(SUBSTITUTE(SUBSTITUTE(SUBSTITUTE(SUBSTITUTE(A248,"""",""), "“", ""),  "”", ""), ".", ""), "–", ""), "‘", "")</f>
        <v>Lose the carbs Not the taste</v>
      </c>
      <c r="C248" s="4" t="s">
        <v>331</v>
      </c>
      <c r="D248" s="3" t="str">
        <f>GetFirstLettersOfAcronym(B248)</f>
        <v>LtcNtt</v>
      </c>
      <c r="E248" s="3" t="str">
        <f xml:space="preserve"> CONCATENATE("map.add(new MatchingMnemonic(", CHAR(34), D248,  CHAR(34), ", ", "new MatchingMnemonicDetail(", CHAR(34), B248, CHAR(34), ", ", CHAR(34), C248, CHAR(34),")));")</f>
        <v>map.add(new MatchingMnemonic("LtcNtt", new MatchingMnemonicDetail("Lose the carbs Not the taste", "Michelob Ultra")));</v>
      </c>
    </row>
    <row r="249" spans="1:5" x14ac:dyDescent="0.25">
      <c r="A249" s="2" t="s">
        <v>222</v>
      </c>
      <c r="B249" s="2" t="str">
        <f>SUBSTITUTE(SUBSTITUTE(SUBSTITUTE(SUBSTITUTE(SUBSTITUTE(SUBSTITUTE(A249,"""",""), "“", ""),  "”", ""), ".", ""), "–", ""), "‘", "")</f>
        <v>Leave the driving to us</v>
      </c>
      <c r="C249" s="2" t="s">
        <v>223</v>
      </c>
      <c r="D249" s="3" t="str">
        <f>GetFirstLettersOfAcronym(B249)</f>
        <v>Ltdtu</v>
      </c>
      <c r="E249" s="3" t="str">
        <f xml:space="preserve"> CONCATENATE("map.add(new MatchingMnemonic(", CHAR(34), D249,  CHAR(34), ", ", "new MatchingMnemonicDetail(", CHAR(34), B249, CHAR(34), ", ", CHAR(34), C249, CHAR(34),")));")</f>
        <v>map.add(new MatchingMnemonic("Ltdtu", new MatchingMnemonicDetail("Leave the driving to us", "Greyhound")));</v>
      </c>
    </row>
    <row r="250" spans="1:5" x14ac:dyDescent="0.25">
      <c r="A250" t="s">
        <v>822</v>
      </c>
      <c r="B250" s="2" t="str">
        <f>SUBSTITUTE(SUBSTITUTE(SUBSTITUTE(SUBSTITUTE(SUBSTITUTE(SUBSTITUTE(TRIM(A250),"""",""), "“", ""),  "”", ""), ".", ""), "–", ""), "‘", "")</f>
        <v>Lick the lid of llife</v>
      </c>
      <c r="C250" t="s">
        <v>920</v>
      </c>
      <c r="D250" s="3" t="str">
        <f>GetFirstLettersOfAcronym(B250)</f>
        <v>Ltlol</v>
      </c>
      <c r="E250" s="3" t="str">
        <f xml:space="preserve"> CONCATENATE("map.add(new MatchingMnemonic(", CHAR(34), D250,  CHAR(34), ", ", "new MatchingMnemonicDetail(", CHAR(34), B250, CHAR(34), ", ", CHAR(34), C250, CHAR(34),")));")</f>
        <v>map.add(new MatchingMnemonic("Ltlol", new MatchingMnemonicDetail("Lick the lid of llife", "Muller")));</v>
      </c>
    </row>
    <row r="251" spans="1:5" x14ac:dyDescent="0.25">
      <c r="A251" s="2" t="s">
        <v>586</v>
      </c>
      <c r="B251" s="2" t="str">
        <f>SUBSTITUTE(SUBSTITUTE(SUBSTITUTE(SUBSTITUTE(SUBSTITUTE(SUBSTITUTE(A251,"""",""), "“", ""),  "”", ""), ".", ""), "–", ""), "‘", "")</f>
        <v>Let your fingers do the walking</v>
      </c>
      <c r="C251" s="2" t="s">
        <v>587</v>
      </c>
      <c r="D251" s="3" t="str">
        <f>GetFirstLettersOfAcronym(B251)</f>
        <v>Lyfdtw</v>
      </c>
      <c r="E251" s="3" t="str">
        <f xml:space="preserve"> CONCATENATE("map.add(new MatchingMnemonic(", CHAR(34), D251,  CHAR(34), ", ", "new MatchingMnemonicDetail(", CHAR(34), B251, CHAR(34), ", ", CHAR(34), C251, CHAR(34),")));")</f>
        <v>map.add(new MatchingMnemonic("Lyfdtw", new MatchingMnemonicDetail("Let your fingers do the walking", "Yellow Pages")));</v>
      </c>
    </row>
    <row r="252" spans="1:5" x14ac:dyDescent="0.25">
      <c r="A252" s="3" t="s">
        <v>749</v>
      </c>
      <c r="B252" s="2" t="str">
        <f>SUBSTITUTE(SUBSTITUTE(SUBSTITUTE(SUBSTITUTE(SUBSTITUTE(SUBSTITUTE(A252,"""",""), "“", ""),  "”", ""), ".", ""), "–", ""), "‘", "")</f>
        <v>Make Believe</v>
      </c>
      <c r="C252" s="3" t="s">
        <v>716</v>
      </c>
      <c r="D252" s="3" t="str">
        <f>GetFirstLettersOfAcronym(B252)</f>
        <v>MB</v>
      </c>
      <c r="E252" s="3" t="str">
        <f xml:space="preserve"> CONCATENATE("map.add(new MatchingMnemonic(", CHAR(34), D252,  CHAR(34), ", ", "new MatchingMnemonicDetail(", CHAR(34), B252, CHAR(34), ", ", CHAR(34), C252, CHAR(34),")));")</f>
        <v>map.add(new MatchingMnemonic("MB", new MatchingMnemonicDetail("Make Believe", "Sony ")));</v>
      </c>
    </row>
    <row r="253" spans="1:5" ht="28.5" x14ac:dyDescent="0.25">
      <c r="A253" s="4" t="s">
        <v>661</v>
      </c>
      <c r="B253" s="2" t="str">
        <f>SUBSTITUTE(SUBSTITUTE(SUBSTITUTE(SUBSTITUTE(SUBSTITUTE(SUBSTITUTE(A253,"""",""), "“", ""),  "”", ""), ".", ""), "–", ""), "‘", "")</f>
        <v>My bologna has a first name, it’s O-S-C-A-R</v>
      </c>
      <c r="C253" s="4" t="s">
        <v>660</v>
      </c>
      <c r="D253" s="3" t="str">
        <f>GetFirstLettersOfAcronym(B253)</f>
        <v>MbhafniO</v>
      </c>
      <c r="E253" s="3" t="str">
        <f xml:space="preserve"> CONCATENATE("map.add(new MatchingMnemonic(", CHAR(34), D253,  CHAR(34), ", ", "new MatchingMnemonicDetail(", CHAR(34), B253, CHAR(34), ", ", CHAR(34), C253, CHAR(34),")));")</f>
        <v>map.add(new MatchingMnemonic("MbhafniO", new MatchingMnemonicDetail("My bologna has a first name, it’s O-S-C-A-R", "Oscar Mayer")));</v>
      </c>
    </row>
    <row r="254" spans="1:5" ht="28.5" x14ac:dyDescent="0.25">
      <c r="A254" s="4" t="s">
        <v>653</v>
      </c>
      <c r="B254" s="2" t="str">
        <f>SUBSTITUTE(SUBSTITUTE(SUBSTITUTE(SUBSTITUTE(SUBSTITUTE(SUBSTITUTE(A254,"""",""), "“", ""),  "”", ""), ".", ""), "–", ""), "‘", "")</f>
        <v>Mr Clean will clean your whole house and everything that’s in it</v>
      </c>
      <c r="C254" s="4" t="s">
        <v>654</v>
      </c>
      <c r="D254" s="3" t="str">
        <f>GetFirstLettersOfAcronym(B254)</f>
        <v>MCwcywhaetii</v>
      </c>
      <c r="E254" s="3" t="str">
        <f xml:space="preserve"> CONCATENATE("map.add(new MatchingMnemonic(", CHAR(34), D254,  CHAR(34), ", ", "new MatchingMnemonicDetail(", CHAR(34), B254, CHAR(34), ", ", CHAR(34), C254, CHAR(34),")));")</f>
        <v>map.add(new MatchingMnemonic("MCwcywhaetii", new MatchingMnemonicDetail("Mr Clean will clean your whole house and everything that’s in it", "Mr. Clean")));</v>
      </c>
    </row>
    <row r="255" spans="1:5" x14ac:dyDescent="0.25">
      <c r="A255" s="4" t="s">
        <v>299</v>
      </c>
      <c r="B255" s="2" t="str">
        <f>SUBSTITUTE(SUBSTITUTE(SUBSTITUTE(SUBSTITUTE(SUBSTITUTE(SUBSTITUTE(A255,"""",""), "“", ""),  "”", ""), ".", ""), "–", ""), "‘", "")</f>
        <v>Magically delicious</v>
      </c>
      <c r="C255" s="4" t="s">
        <v>300</v>
      </c>
      <c r="D255" s="3" t="str">
        <f>GetFirstLettersOfAcronym(B255)</f>
        <v>Md</v>
      </c>
      <c r="E255" s="3" t="str">
        <f xml:space="preserve"> CONCATENATE("map.add(new MatchingMnemonic(", CHAR(34), D255,  CHAR(34), ", ", "new MatchingMnemonicDetail(", CHAR(34), B255, CHAR(34), ", ", CHAR(34), C255, CHAR(34),")));")</f>
        <v>map.add(new MatchingMnemonic("Md", new MatchingMnemonicDetail("Magically delicious", "Lucky Charms")));</v>
      </c>
    </row>
    <row r="256" spans="1:5" x14ac:dyDescent="0.25">
      <c r="A256" s="2" t="s">
        <v>478</v>
      </c>
      <c r="B256" s="2" t="str">
        <f>SUBSTITUTE(SUBSTITUTE(SUBSTITUTE(SUBSTITUTE(SUBSTITUTE(SUBSTITUTE(A256,"""",""), "“", ""),  "”", ""), ".", ""), "–", ""), "‘", "")</f>
        <v>Made from the best stuff on Earth</v>
      </c>
      <c r="C256" s="2" t="s">
        <v>479</v>
      </c>
      <c r="D256" s="3" t="str">
        <f>GetFirstLettersOfAcronym(B256)</f>
        <v>MftbsoE</v>
      </c>
      <c r="E256" s="3" t="str">
        <f xml:space="preserve"> CONCATENATE("map.add(new MatchingMnemonic(", CHAR(34), D256,  CHAR(34), ", ", "new MatchingMnemonicDetail(", CHAR(34), B256, CHAR(34), ", ", CHAR(34), C256, CHAR(34),")));")</f>
        <v>map.add(new MatchingMnemonic("MftbsoE", new MatchingMnemonicDetail("Made from the best stuff on Earth", "Snapple")));</v>
      </c>
    </row>
    <row r="257" spans="1:5" x14ac:dyDescent="0.25">
      <c r="A257" t="s">
        <v>821</v>
      </c>
      <c r="B257" s="2" t="str">
        <f>SUBSTITUTE(SUBSTITUTE(SUBSTITUTE(SUBSTITUTE(SUBSTITUTE(SUBSTITUTE(TRIM(A257),"""",""), "“", ""),  "”", ""), ".", ""), "–", ""), "‘", "")</f>
        <v>Milk’s gotta lotta bottle</v>
      </c>
      <c r="C257" t="s">
        <v>919</v>
      </c>
      <c r="D257" s="3" t="str">
        <f>GetFirstLettersOfAcronym(B257)</f>
        <v>Mglb</v>
      </c>
      <c r="E257" s="3" t="str">
        <f xml:space="preserve"> CONCATENATE("map.add(new MatchingMnemonic(", CHAR(34), D257,  CHAR(34), ", ", "new MatchingMnemonicDetail(", CHAR(34), B257, CHAR(34), ", ", CHAR(34), C257, CHAR(34),")));")</f>
        <v>map.add(new MatchingMnemonic("Mglb", new MatchingMnemonicDetail("Milk’s gotta lotta bottle", "Milk Marketing Board")));</v>
      </c>
    </row>
    <row r="258" spans="1:5" x14ac:dyDescent="0.25">
      <c r="A258" s="2" t="s">
        <v>324</v>
      </c>
      <c r="B258" s="2" t="str">
        <f>SUBSTITUTE(SUBSTITUTE(SUBSTITUTE(SUBSTITUTE(SUBSTITUTE(SUBSTITUTE(A258,"""",""), "“", ""),  "”", ""), ".", ""), "–", ""), "‘", "")</f>
        <v>Merrill-Lynch is bullish on America</v>
      </c>
      <c r="C258" s="2" t="s">
        <v>325</v>
      </c>
      <c r="D258" s="3" t="str">
        <f>GetFirstLettersOfAcronym(B258)</f>
        <v>MiboA</v>
      </c>
      <c r="E258" s="3" t="str">
        <f xml:space="preserve"> CONCATENATE("map.add(new MatchingMnemonic(", CHAR(34), D258,  CHAR(34), ", ", "new MatchingMnemonicDetail(", CHAR(34), B258, CHAR(34), ", ", CHAR(34), C258, CHAR(34),")));")</f>
        <v>map.add(new MatchingMnemonic("MiboA", new MatchingMnemonicDetail("Merrill-Lynch is bullish on America", "Merrill-Lynch")));</v>
      </c>
    </row>
    <row r="259" spans="1:5" x14ac:dyDescent="0.25">
      <c r="A259" s="2" t="s">
        <v>305</v>
      </c>
      <c r="B259" s="2" t="str">
        <f>SUBSTITUTE(SUBSTITUTE(SUBSTITUTE(SUBSTITUTE(SUBSTITUTE(SUBSTITUTE(A259,"""",""), "“", ""),  "”", ""), ".", ""), "–", ""), "‘", "")</f>
        <v>Melts in your mouth, not in your hands</v>
      </c>
      <c r="C259" s="2" t="s">
        <v>306</v>
      </c>
      <c r="D259" s="3" t="str">
        <f>GetFirstLettersOfAcronym(B259)</f>
        <v>Miymniyh</v>
      </c>
      <c r="E259" s="3" t="str">
        <f xml:space="preserve"> CONCATENATE("map.add(new MatchingMnemonic(", CHAR(34), D259,  CHAR(34), ", ", "new MatchingMnemonicDetail(", CHAR(34), B259, CHAR(34), ", ", CHAR(34), C259, CHAR(34),")));")</f>
        <v>map.add(new MatchingMnemonic("Miymniyh", new MatchingMnemonicDetail("Melts in your mouth, not in your hands", "M&amp;Ms")));</v>
      </c>
    </row>
    <row r="260" spans="1:5" x14ac:dyDescent="0.25">
      <c r="A260" t="s">
        <v>820</v>
      </c>
      <c r="B260" s="2" t="str">
        <f>SUBSTITUTE(SUBSTITUTE(SUBSTITUTE(SUBSTITUTE(SUBSTITUTE(SUBSTITUTE(TRIM(A260),"""",""), "“", ""),  "”", ""), ".", ""), "–", ""), "‘", "")</f>
        <v>Merrill Lynch is bullish on America</v>
      </c>
      <c r="C260" t="s">
        <v>918</v>
      </c>
      <c r="D260" s="3" t="str">
        <f>GetFirstLettersOfAcronym(B260)</f>
        <v>MLiboA</v>
      </c>
      <c r="E260" s="3" t="str">
        <f xml:space="preserve"> CONCATENATE("map.add(new MatchingMnemonic(", CHAR(34), D260,  CHAR(34), ", ", "new MatchingMnemonicDetail(", CHAR(34), B260, CHAR(34), ", ", CHAR(34), C260, CHAR(34),")));")</f>
        <v>map.add(new MatchingMnemonic("MLiboA", new MatchingMnemonicDetail("Merrill Lynch is bullish on America", "Merrill Lynch")));</v>
      </c>
    </row>
    <row r="261" spans="1:5" x14ac:dyDescent="0.25">
      <c r="A261" s="2" t="s">
        <v>29</v>
      </c>
      <c r="B261" s="2" t="str">
        <f>SUBSTITUTE(SUBSTITUTE(SUBSTITUTE(SUBSTITUTE(SUBSTITUTE(SUBSTITUTE(A261,"""",""), "“", ""),  "”", ""), ".", ""), "–", ""), "‘", "")</f>
        <v>My life My card</v>
      </c>
      <c r="C261" s="2" t="s">
        <v>27</v>
      </c>
      <c r="D261" s="3" t="str">
        <f>GetFirstLettersOfAcronym(B261)</f>
        <v>MlMc</v>
      </c>
      <c r="E261" s="3" t="str">
        <f xml:space="preserve"> CONCATENATE("map.add(new MatchingMnemonic(", CHAR(34), D261,  CHAR(34), ", ", "new MatchingMnemonicDetail(", CHAR(34), B261, CHAR(34), ", ", CHAR(34), C261, CHAR(34),")));")</f>
        <v>map.add(new MatchingMnemonic("MlMc", new MatchingMnemonicDetail("My life My card", "American Express")));</v>
      </c>
    </row>
    <row r="262" spans="1:5" x14ac:dyDescent="0.25">
      <c r="A262" s="2" t="s">
        <v>607</v>
      </c>
      <c r="B262" s="2" t="str">
        <f>SUBSTITUTE(SUBSTITUTE(SUBSTITUTE(SUBSTITUTE(SUBSTITUTE(SUBSTITUTE(A262,"""",""), "“", ""),  "”", ""), ".", ""), "–", ""), "‘", "")</f>
        <v>M’m! M’m! Good!</v>
      </c>
      <c r="C262" s="2" t="s">
        <v>608</v>
      </c>
      <c r="D262" s="3" t="str">
        <f>GetFirstLettersOfAcronym(B262)</f>
        <v>MMG</v>
      </c>
      <c r="E262" s="3" t="str">
        <f xml:space="preserve"> CONCATENATE("map.add(new MatchingMnemonic(", CHAR(34), D262,  CHAR(34), ", ", "new MatchingMnemonicDetail(", CHAR(34), B262, CHAR(34), ", ", CHAR(34), C262, CHAR(34),")));")</f>
        <v>map.add(new MatchingMnemonic("MMG", new MatchingMnemonicDetail("M’m! M’m! Good!", "Campbell’s Soup")));</v>
      </c>
    </row>
    <row r="263" spans="1:5" x14ac:dyDescent="0.25">
      <c r="A263" s="4" t="s">
        <v>326</v>
      </c>
      <c r="B263" s="2" t="str">
        <f>SUBSTITUTE(SUBSTITUTE(SUBSTITUTE(SUBSTITUTE(SUBSTITUTE(SUBSTITUTE(A263,"""",""), "“", ""),  "”", ""), ".", ""), "–", ""), "‘", "")</f>
        <v>MGM means great movies</v>
      </c>
      <c r="C263" s="4" t="s">
        <v>327</v>
      </c>
      <c r="D263" s="3" t="str">
        <f>GetFirstLettersOfAcronym(B263)</f>
        <v>Mmgm</v>
      </c>
      <c r="E263" s="3" t="str">
        <f xml:space="preserve"> CONCATENATE("map.add(new MatchingMnemonic(", CHAR(34), D263,  CHAR(34), ", ", "new MatchingMnemonicDetail(", CHAR(34), B263, CHAR(34), ", ", CHAR(34), C263, CHAR(34),")));")</f>
        <v>map.add(new MatchingMnemonic("Mmgm", new MatchingMnemonicDetail("MGM means great movies", "MGM")));</v>
      </c>
    </row>
    <row r="264" spans="1:5" x14ac:dyDescent="0.25">
      <c r="A264" s="4" t="s">
        <v>650</v>
      </c>
      <c r="B264" s="2" t="str">
        <f>SUBSTITUTE(SUBSTITUTE(SUBSTITUTE(SUBSTITUTE(SUBSTITUTE(SUBSTITUTE(A264,"""",""), "“", ""),  "”", ""), ".", ""), "–", ""), "‘", "")</f>
        <v>Meow, meow, meow, meow</v>
      </c>
      <c r="C264" s="4" t="s">
        <v>651</v>
      </c>
      <c r="D264" s="3" t="str">
        <f>GetFirstLettersOfAcronym(B264)</f>
        <v>Mmmm</v>
      </c>
      <c r="E264" s="3" t="str">
        <f xml:space="preserve"> CONCATENATE("map.add(new MatchingMnemonic(", CHAR(34), D264,  CHAR(34), ", ", "new MatchingMnemonicDetail(", CHAR(34), B264, CHAR(34), ", ", CHAR(34), C264, CHAR(34),")));")</f>
        <v>map.add(new MatchingMnemonic("Mmmm", new MatchingMnemonicDetail("Meow, meow, meow, meow", "Meow Mix (Ralston)")));</v>
      </c>
    </row>
    <row r="265" spans="1:5" x14ac:dyDescent="0.25">
      <c r="A265" s="2" t="s">
        <v>431</v>
      </c>
      <c r="B265" s="2" t="str">
        <f>SUBSTITUTE(SUBSTITUTE(SUBSTITUTE(SUBSTITUTE(SUBSTITUTE(SUBSTITUTE(A265,"""",""), "“", ""),  "”", ""), ".", ""), "–", ""), "‘", "")</f>
        <v>M’m, m’m, m’m, m’m, m’mtoasty!</v>
      </c>
      <c r="C265" s="2" t="s">
        <v>432</v>
      </c>
      <c r="D265" s="3" t="str">
        <f>GetFirstLettersOfAcronym(B265)</f>
        <v>Mmmmm</v>
      </c>
      <c r="E265" s="3" t="str">
        <f xml:space="preserve"> CONCATENATE("map.add(new MatchingMnemonic(", CHAR(34), D265,  CHAR(34), ", ", "new MatchingMnemonicDetail(", CHAR(34), B265, CHAR(34), ", ", CHAR(34), C265, CHAR(34),")));")</f>
        <v>map.add(new MatchingMnemonic("Mmmmm", new MatchingMnemonicDetail("M’m, m’m, m’m, m’m, m’mtoasty!", "Quiznos")));</v>
      </c>
    </row>
    <row r="266" spans="1:5" x14ac:dyDescent="0.25">
      <c r="A266" s="2" t="s">
        <v>12</v>
      </c>
      <c r="B266" s="2" t="str">
        <f>SUBSTITUTE(SUBSTITUTE(SUBSTITUTE(SUBSTITUTE(SUBSTITUTE(SUBSTITUTE(A266,"""",""), "“", ""),  "”", ""), ".", ""), "–", ""), "‘", "")</f>
        <v>Mama mia, thatsa spicy meatball</v>
      </c>
      <c r="C266" s="2" t="s">
        <v>11</v>
      </c>
      <c r="D266" s="3" t="str">
        <f>GetFirstLettersOfAcronym(B266)</f>
        <v>Mmtsm</v>
      </c>
      <c r="E266" s="3" t="str">
        <f xml:space="preserve"> CONCATENATE("map.add(new MatchingMnemonic(", CHAR(34), D266,  CHAR(34), ", ", "new MatchingMnemonicDetail(", CHAR(34), B266, CHAR(34), ", ", CHAR(34), C266, CHAR(34),")));")</f>
        <v>map.add(new MatchingMnemonic("Mmtsm", new MatchingMnemonicDetail("Mama mia, thatsa spicy meatball", "Alka-Seltzer")));</v>
      </c>
    </row>
    <row r="267" spans="1:5" ht="28.5" x14ac:dyDescent="0.25">
      <c r="A267" s="4" t="s">
        <v>644</v>
      </c>
      <c r="B267" s="2" t="str">
        <f>SUBSTITUTE(SUBSTITUTE(SUBSTITUTE(SUBSTITUTE(SUBSTITUTE(SUBSTITUTE(A267,"""",""), "“", ""),  "”", ""), ".", ""), "–", ""), "‘", "")</f>
        <v>Maybe she’s born with it Maybe it’s Maybelline</v>
      </c>
      <c r="C267" s="4" t="s">
        <v>645</v>
      </c>
      <c r="D267" s="3" t="str">
        <f>GetFirstLettersOfAcronym(B267)</f>
        <v>MsbwiMiM</v>
      </c>
      <c r="E267" s="3" t="str">
        <f xml:space="preserve"> CONCATENATE("map.add(new MatchingMnemonic(", CHAR(34), D267,  CHAR(34), ", ", "new MatchingMnemonicDetail(", CHAR(34), B267, CHAR(34), ", ", CHAR(34), C267, CHAR(34),")));")</f>
        <v>map.add(new MatchingMnemonic("MsbwiMiM", new MatchingMnemonicDetail("Maybe she’s born with it Maybe it’s Maybelline", "Maybelline")));</v>
      </c>
    </row>
    <row r="268" spans="1:5" x14ac:dyDescent="0.25">
      <c r="A268" s="4" t="s">
        <v>360</v>
      </c>
      <c r="B268" s="2" t="str">
        <f>SUBSTITUTE(SUBSTITUTE(SUBSTITUTE(SUBSTITUTE(SUBSTITUTE(SUBSTITUTE(A268,"""",""), "“", ""),  "”", ""), ".", ""), "–", ""), "‘", "")</f>
        <v>Must see TV</v>
      </c>
      <c r="C268" s="4" t="s">
        <v>361</v>
      </c>
      <c r="D268" s="3" t="str">
        <f>GetFirstLettersOfAcronym(B268)</f>
        <v>MsT</v>
      </c>
      <c r="E268" s="3" t="str">
        <f xml:space="preserve"> CONCATENATE("map.add(new MatchingMnemonic(", CHAR(34), D268,  CHAR(34), ", ", "new MatchingMnemonicDetail(", CHAR(34), B268, CHAR(34), ", ", CHAR(34), C268, CHAR(34),")));")</f>
        <v>map.add(new MatchingMnemonic("MsT", new MatchingMnemonicDetail("Must see TV", "NBC")));</v>
      </c>
    </row>
    <row r="269" spans="1:5" x14ac:dyDescent="0.25">
      <c r="A269" t="s">
        <v>855</v>
      </c>
      <c r="B269" s="2" t="str">
        <f>SUBSTITUTE(SUBSTITUTE(SUBSTITUTE(SUBSTITUTE(SUBSTITUTE(SUBSTITUTE(TRIM(A269),"""",""), "“", ""),  "”", ""), ".", ""), "–", ""), "‘", "")</f>
        <v>Make the most of now</v>
      </c>
      <c r="C269" t="s">
        <v>940</v>
      </c>
      <c r="D269" s="3" t="str">
        <f>GetFirstLettersOfAcronym(B269)</f>
        <v>Mtmon</v>
      </c>
      <c r="E269" s="3" t="str">
        <f xml:space="preserve"> CONCATENATE("map.add(new MatchingMnemonic(", CHAR(34), D269,  CHAR(34), ", ", "new MatchingMnemonicDetail(", CHAR(34), B269, CHAR(34), ", ", CHAR(34), C269, CHAR(34),")));")</f>
        <v>map.add(new MatchingMnemonic("Mtmon", new MatchingMnemonicDetail("Make the most of now", "Vodafone")));</v>
      </c>
    </row>
    <row r="270" spans="1:5" x14ac:dyDescent="0.25">
      <c r="A270" s="2" t="s">
        <v>211</v>
      </c>
      <c r="B270" s="2" t="str">
        <f>SUBSTITUTE(SUBSTITUTE(SUBSTITUTE(SUBSTITUTE(SUBSTITUTE(SUBSTITUTE(A270,"""",""), "“", ""),  "”", ""), ".", ""), "–", ""), "‘", "")</f>
        <v>My wife, I think I’ll keep her</v>
      </c>
      <c r="C270" s="2" t="s">
        <v>212</v>
      </c>
      <c r="D270" s="3" t="str">
        <f>GetFirstLettersOfAcronym(B270)</f>
        <v>MwItIkh</v>
      </c>
      <c r="E270" s="3" t="str">
        <f xml:space="preserve"> CONCATENATE("map.add(new MatchingMnemonic(", CHAR(34), D270,  CHAR(34), ", ", "new MatchingMnemonicDetail(", CHAR(34), B270, CHAR(34), ", ", CHAR(34), C270, CHAR(34),")));")</f>
        <v>map.add(new MatchingMnemonic("MwItIkh", new MatchingMnemonicDetail("My wife, I think I’ll keep her", "Geritol")));</v>
      </c>
    </row>
    <row r="271" spans="1:5" x14ac:dyDescent="0.25">
      <c r="A271" s="4" t="s">
        <v>348</v>
      </c>
      <c r="B271" s="2" t="str">
        <f>SUBSTITUTE(SUBSTITUTE(SUBSTITUTE(SUBSTITUTE(SUBSTITUTE(SUBSTITUTE(A271,"""",""), "“", ""),  "”", ""), ".", ""), "–", ""), "‘", "")</f>
        <v>Medicine with muscle</v>
      </c>
      <c r="C271" s="4" t="s">
        <v>349</v>
      </c>
      <c r="D271" s="3" t="str">
        <f>GetFirstLettersOfAcronym(B271)</f>
        <v>Mwm</v>
      </c>
      <c r="E271" s="3" t="str">
        <f xml:space="preserve"> CONCATENATE("map.add(new MatchingMnemonic(", CHAR(34), D271,  CHAR(34), ", ", "new MatchingMnemonicDetail(", CHAR(34), B271, CHAR(34), ", ", CHAR(34), C271, CHAR(34),")));")</f>
        <v>map.add(new MatchingMnemonic("Mwm", new MatchingMnemonicDetail("Medicine with muscle", "Motrin")));</v>
      </c>
    </row>
    <row r="272" spans="1:5" x14ac:dyDescent="0.25">
      <c r="A272" s="4" t="s">
        <v>256</v>
      </c>
      <c r="B272" s="2" t="str">
        <f>SUBSTITUTE(SUBSTITUTE(SUBSTITUTE(SUBSTITUTE(SUBSTITUTE(SUBSTITUTE(A272,"""",""), "“", ""),  "”", ""), ".", ""), "–", ""), "‘", "")</f>
        <v>Manly yes, but I like it, too</v>
      </c>
      <c r="C272" s="4" t="s">
        <v>257</v>
      </c>
      <c r="D272" s="3" t="str">
        <f>GetFirstLettersOfAcronym(B272)</f>
        <v>MybIlit</v>
      </c>
      <c r="E272" s="3" t="str">
        <f xml:space="preserve"> CONCATENATE("map.add(new MatchingMnemonic(", CHAR(34), D272,  CHAR(34), ", ", "new MatchingMnemonicDetail(", CHAR(34), B272, CHAR(34), ", ", CHAR(34), C272, CHAR(34),")));")</f>
        <v>map.add(new MatchingMnemonic("MybIlit", new MatchingMnemonicDetail("Manly yes, but I like it, too", "Irish Spring Soap")));</v>
      </c>
    </row>
    <row r="273" spans="1:5" ht="42.75" x14ac:dyDescent="0.25">
      <c r="A273" s="2" t="s">
        <v>85</v>
      </c>
      <c r="B273" s="2" t="str">
        <f>SUBSTITUTE(SUBSTITUTE(SUBSTITUTE(SUBSTITUTE(SUBSTITUTE(SUBSTITUTE(A273,"""",""), "“", ""),  "”", ""), ".", ""), "–", ""), "‘", "")</f>
        <v>Nothing comes between me and my Calvins</v>
      </c>
      <c r="C273" s="2" t="s">
        <v>86</v>
      </c>
      <c r="D273" s="3" t="str">
        <f>GetFirstLettersOfAcronym(B273)</f>
        <v>NcbmamC</v>
      </c>
      <c r="E273" s="3" t="str">
        <f xml:space="preserve"> CONCATENATE("map.add(new MatchingMnemonic(", CHAR(34), D273,  CHAR(34), ", ", "new MatchingMnemonicDetail(", CHAR(34), B273, CHAR(34), ", ", CHAR(34), C273, CHAR(34),")));")</f>
        <v>map.add(new MatchingMnemonic("NcbmamC", new MatchingMnemonicDetail("Nothing comes between me and my Calvins", "Calvin Klein Jeans")));</v>
      </c>
    </row>
    <row r="274" spans="1:5" x14ac:dyDescent="0.25">
      <c r="A274" t="s">
        <v>829</v>
      </c>
      <c r="B274" s="2" t="str">
        <f>SUBSTITUTE(SUBSTITUTE(SUBSTITUTE(SUBSTITUTE(SUBSTITUTE(SUBSTITUTE(TRIM(A274),"""",""), "“", ""),  "”", ""), ".", ""), "–", ""), "‘", "")</f>
        <v>No child born to die</v>
      </c>
      <c r="C274" t="s">
        <v>932</v>
      </c>
      <c r="D274" s="3" t="str">
        <f>GetFirstLettersOfAcronym(B274)</f>
        <v>Ncbtd</v>
      </c>
      <c r="E274" s="3" t="str">
        <f xml:space="preserve"> CONCATENATE("map.add(new MatchingMnemonic(", CHAR(34), D274,  CHAR(34), ", ", "new MatchingMnemonicDetail(", CHAR(34), B274, CHAR(34), ", ", CHAR(34), C274, CHAR(34),")));")</f>
        <v>map.add(new MatchingMnemonic("Ncbtd", new MatchingMnemonicDetail("No child born to die", "Save The Children")));</v>
      </c>
    </row>
    <row r="275" spans="1:5" x14ac:dyDescent="0.25">
      <c r="A275" s="4" t="s">
        <v>280</v>
      </c>
      <c r="B275" s="2" t="str">
        <f>SUBSTITUTE(SUBSTITUTE(SUBSTITUTE(SUBSTITUTE(SUBSTITUTE(SUBSTITUTE(A275,"""",""), "“", ""),  "”", ""), ".", ""), "–", ""), "‘", "")</f>
        <v>Nobody does chicken like KFC</v>
      </c>
      <c r="C275" s="2" t="s">
        <v>279</v>
      </c>
      <c r="D275" s="3" t="str">
        <f>GetFirstLettersOfAcronym(B275)</f>
        <v>NdclK</v>
      </c>
      <c r="E275" s="3" t="str">
        <f xml:space="preserve"> CONCATENATE("map.add(new MatchingMnemonic(", CHAR(34), D275,  CHAR(34), ", ", "new MatchingMnemonicDetail(", CHAR(34), B275, CHAR(34), ", ", CHAR(34), C275, CHAR(34),")));")</f>
        <v>map.add(new MatchingMnemonic("NdclK", new MatchingMnemonicDetail("Nobody does chicken like KFC", "Kentucky Fried Chicken")));</v>
      </c>
    </row>
    <row r="276" spans="1:5" x14ac:dyDescent="0.25">
      <c r="A276" s="2" t="s">
        <v>673</v>
      </c>
      <c r="B276" s="2" t="str">
        <f>SUBSTITUTE(SUBSTITUTE(SUBSTITUTE(SUBSTITUTE(SUBSTITUTE(SUBSTITUTE(A276,"""",""), "“", ""),  "”", ""), ".", ""), "–", ""), "‘", "")</f>
        <v>Nobody doesn’t like Sara Lee</v>
      </c>
      <c r="C276" s="2" t="s">
        <v>674</v>
      </c>
      <c r="D276" s="3" t="str">
        <f>GetFirstLettersOfAcronym(B276)</f>
        <v>NdlSL</v>
      </c>
      <c r="E276" s="3" t="str">
        <f xml:space="preserve"> CONCATENATE("map.add(new MatchingMnemonic(", CHAR(34), D276,  CHAR(34), ", ", "new MatchingMnemonicDetail(", CHAR(34), B276, CHAR(34), ", ", CHAR(34), C276, CHAR(34),")));")</f>
        <v>map.add(new MatchingMnemonic("NdlSL", new MatchingMnemonicDetail("Nobody doesn’t like Sara Lee", "Sara Lee Foods")));</v>
      </c>
    </row>
    <row r="277" spans="1:5" x14ac:dyDescent="0.25">
      <c r="A277" s="2" t="s">
        <v>41</v>
      </c>
      <c r="B277" s="2" t="str">
        <f>SUBSTITUTE(SUBSTITUTE(SUBSTITUTE(SUBSTITUTE(SUBSTITUTE(SUBSTITUTE(A277,"""",""), "“", ""),  "”", ""), ".", ""), "–", ""), "‘", "")</f>
        <v>Never follow</v>
      </c>
      <c r="C277" s="2" t="s">
        <v>42</v>
      </c>
      <c r="D277" s="3" t="str">
        <f>GetFirstLettersOfAcronym(B277)</f>
        <v>Nf</v>
      </c>
      <c r="E277" s="3" t="str">
        <f xml:space="preserve"> CONCATENATE("map.add(new MatchingMnemonic(", CHAR(34), D277,  CHAR(34), ", ", "new MatchingMnemonicDetail(", CHAR(34), B277, CHAR(34), ", ", CHAR(34), C277, CHAR(34),")));")</f>
        <v>map.add(new MatchingMnemonic("Nf", new MatchingMnemonicDetail("Never follow", "Audi")));</v>
      </c>
    </row>
    <row r="278" spans="1:5" x14ac:dyDescent="0.25">
      <c r="A278" t="s">
        <v>806</v>
      </c>
      <c r="B278" s="2" t="str">
        <f>SUBSTITUTE(SUBSTITUTE(SUBSTITUTE(SUBSTITUTE(SUBSTITUTE(SUBSTITUTE(TRIM(A278),"""",""), "“", ""),  "”", ""), ".", ""), "–", ""), "‘", "")</f>
        <v>No FT, no comment</v>
      </c>
      <c r="C278" t="s">
        <v>905</v>
      </c>
      <c r="D278" s="3" t="str">
        <f>GetFirstLettersOfAcronym(B278)</f>
        <v>NFnc</v>
      </c>
      <c r="E278" s="3" t="str">
        <f xml:space="preserve"> CONCATENATE("map.add(new MatchingMnemonic(", CHAR(34), D278,  CHAR(34), ", ", "new MatchingMnemonicDetail(", CHAR(34), B278, CHAR(34), ", ", CHAR(34), C278, CHAR(34),")));")</f>
        <v>map.add(new MatchingMnemonic("NFnc", new MatchingMnemonicDetail("No FT, no comment", "Financial Times")));</v>
      </c>
    </row>
    <row r="279" spans="1:5" x14ac:dyDescent="0.25">
      <c r="A279" s="2" t="s">
        <v>655</v>
      </c>
      <c r="B279" s="2" t="str">
        <f>SUBSTITUTE(SUBSTITUTE(SUBSTITUTE(SUBSTITUTE(SUBSTITUTE(SUBSTITUTE(A279,"""",""), "“", ""),  "”", ""), ".", ""), "–", ""), "‘", "")</f>
        <v>Nationwide is on your side</v>
      </c>
      <c r="C279" s="2" t="s">
        <v>656</v>
      </c>
      <c r="D279" s="3" t="str">
        <f>GetFirstLettersOfAcronym(B279)</f>
        <v>Nioys</v>
      </c>
      <c r="E279" s="3" t="str">
        <f xml:space="preserve"> CONCATENATE("map.add(new MatchingMnemonic(", CHAR(34), D279,  CHAR(34), ", ", "new MatchingMnemonicDetail(", CHAR(34), B279, CHAR(34), ", ", CHAR(34), C279, CHAR(34),")));")</f>
        <v>map.add(new MatchingMnemonic("Nioys", new MatchingMnemonicDetail("Nationwide is on your side", "Nationwide Insurance")));</v>
      </c>
    </row>
    <row r="280" spans="1:5" x14ac:dyDescent="0.25">
      <c r="A280" t="s">
        <v>884</v>
      </c>
      <c r="B280" s="2" t="str">
        <f>SUBSTITUTE(SUBSTITUTE(SUBSTITUTE(SUBSTITUTE(SUBSTITUTE(SUBSTITUTE(TRIM(A280),"""",""), "“", ""),  "”", ""), ".", ""), "–", ""), "‘", "")</f>
        <v>Never Knowingly Undersold</v>
      </c>
      <c r="C280" t="s">
        <v>944</v>
      </c>
      <c r="D280" s="3" t="str">
        <f>GetFirstLettersOfAcronym(B280)</f>
        <v>NKU</v>
      </c>
      <c r="E280" s="3" t="str">
        <f xml:space="preserve"> CONCATENATE("map.add(new MatchingMnemonic(", CHAR(34), D280,  CHAR(34), ", ", "new MatchingMnemonicDetail(", CHAR(34), B280, CHAR(34), ", ", CHAR(34), C280, CHAR(34),")));")</f>
        <v>map.add(new MatchingMnemonic("NKU", new MatchingMnemonicDetail("Never Knowingly Undersold", "John Lewis")));</v>
      </c>
    </row>
    <row r="281" spans="1:5" x14ac:dyDescent="0.25">
      <c r="A281" s="4" t="s">
        <v>216</v>
      </c>
      <c r="B281" s="2" t="str">
        <f>SUBSTITUTE(SUBSTITUTE(SUBSTITUTE(SUBSTITUTE(SUBSTITUTE(SUBSTITUTE(A281,"""",""), "“", ""),  "”", ""), ".", ""), "–", ""), "‘", "")</f>
        <v>Never let em see you sweat</v>
      </c>
      <c r="C281" s="4" t="s">
        <v>217</v>
      </c>
      <c r="D281" s="3" t="str">
        <f>GetFirstLettersOfAcronym(B281)</f>
        <v>Nlesys</v>
      </c>
      <c r="E281" s="3" t="str">
        <f xml:space="preserve"> CONCATENATE("map.add(new MatchingMnemonic(", CHAR(34), D281,  CHAR(34), ", ", "new MatchingMnemonicDetail(", CHAR(34), B281, CHAR(34), ", ", CHAR(34), C281, CHAR(34),")));")</f>
        <v>map.add(new MatchingMnemonic("Nlesys", new MatchingMnemonicDetail("Never let em see you sweat", "Gillette Dry idea")));</v>
      </c>
    </row>
    <row r="282" spans="1:5" x14ac:dyDescent="0.25">
      <c r="A282" t="s">
        <v>862</v>
      </c>
      <c r="B282" s="2" t="str">
        <f>SUBSTITUTE(SUBSTITUTE(SUBSTITUTE(SUBSTITUTE(SUBSTITUTE(SUBSTITUTE(TRIM(A282),"""",""), "“", ""),  "”", ""), ".", ""), "–", ""), "‘", "")</f>
        <v>No more tears</v>
      </c>
      <c r="C282" t="s">
        <v>911</v>
      </c>
      <c r="D282" s="3" t="str">
        <f>GetFirstLettersOfAcronym(B282)</f>
        <v>Nmt</v>
      </c>
      <c r="E282" s="3" t="str">
        <f xml:space="preserve"> CONCATENATE("map.add(new MatchingMnemonic(", CHAR(34), D282,  CHAR(34), ", ", "new MatchingMnemonicDetail(", CHAR(34), B282, CHAR(34), ", ", CHAR(34), C282, CHAR(34),")));")</f>
        <v>map.add(new MatchingMnemonic("Nmt", new MatchingMnemonicDetail("No more tears", "Johnson’s Baby Shampoo")));</v>
      </c>
    </row>
    <row r="283" spans="1:5" ht="28.5" x14ac:dyDescent="0.25">
      <c r="A283" s="4" t="s">
        <v>657</v>
      </c>
      <c r="B283" s="2" t="str">
        <f>SUBSTITUTE(SUBSTITUTE(SUBSTITUTE(SUBSTITUTE(SUBSTITUTE(SUBSTITUTE(A283,"""",""), "“", ""),  "”", ""), ".", ""), "–", ""), "‘", "")</f>
        <v>N-E-S-T-L-E-S, Nestles makes the very bestchocolate</v>
      </c>
      <c r="C283" s="4" t="s">
        <v>658</v>
      </c>
      <c r="D283" s="3" t="str">
        <f>GetFirstLettersOfAcronym(B283)</f>
        <v>NNmtvb</v>
      </c>
      <c r="E283" s="3" t="str">
        <f xml:space="preserve"> CONCATENATE("map.add(new MatchingMnemonic(", CHAR(34), D283,  CHAR(34), ", ", "new MatchingMnemonicDetail(", CHAR(34), B283, CHAR(34), ", ", CHAR(34), C283, CHAR(34),")));")</f>
        <v>map.add(new MatchingMnemonic("NNmtvb", new MatchingMnemonicDetail("N-E-S-T-L-E-S, Nestles makes the very bestchocolate", "Nestles")));</v>
      </c>
    </row>
    <row r="284" spans="1:5" x14ac:dyDescent="0.25">
      <c r="A284" s="2" t="s">
        <v>392</v>
      </c>
      <c r="B284" s="2" t="str">
        <f>SUBSTITUTE(SUBSTITUTE(SUBSTITUTE(SUBSTITUTE(SUBSTITUTE(SUBSTITUTE(A284,"""",""), "“", ""),  "”", ""), ".", ""), "–", ""), "‘", "")</f>
        <v>No rules Just right</v>
      </c>
      <c r="C284" s="2" t="s">
        <v>393</v>
      </c>
      <c r="D284" s="3" t="str">
        <f>GetFirstLettersOfAcronym(B284)</f>
        <v>NrJr</v>
      </c>
      <c r="E284" s="3" t="str">
        <f xml:space="preserve"> CONCATENATE("map.add(new MatchingMnemonic(", CHAR(34), D284,  CHAR(34), ", ", "new MatchingMnemonicDetail(", CHAR(34), B284, CHAR(34), ", ", CHAR(34), C284, CHAR(34),")));")</f>
        <v>map.add(new MatchingMnemonic("NrJr", new MatchingMnemonicDetail("No rules Just right", "Outback Steakhouse")));</v>
      </c>
    </row>
    <row r="285" spans="1:5" x14ac:dyDescent="0.25">
      <c r="A285" t="s">
        <v>812</v>
      </c>
      <c r="B285" s="2" t="str">
        <f>SUBSTITUTE(SUBSTITUTE(SUBSTITUTE(SUBSTITUTE(SUBSTITUTE(SUBSTITUTE(TRIM(A285),"""",""), "“", ""),  "”", ""), ".", ""), "–", ""), "‘", "")</f>
        <v>Nothing runs like a Deere</v>
      </c>
      <c r="C285" t="s">
        <v>267</v>
      </c>
      <c r="D285" s="3" t="str">
        <f>GetFirstLettersOfAcronym(B285)</f>
        <v>NrlaD</v>
      </c>
      <c r="E285" s="3" t="str">
        <f xml:space="preserve"> CONCATENATE("map.add(new MatchingMnemonic(", CHAR(34), D285,  CHAR(34), ", ", "new MatchingMnemonicDetail(", CHAR(34), B285, CHAR(34), ", ", CHAR(34), C285, CHAR(34),")));")</f>
        <v>map.add(new MatchingMnemonic("NrlaD", new MatchingMnemonicDetail("Nothing runs like a Deere", "John Deere")));</v>
      </c>
    </row>
    <row r="286" spans="1:5" x14ac:dyDescent="0.25">
      <c r="A286" s="4" t="s">
        <v>167</v>
      </c>
      <c r="B286" s="2" t="str">
        <f>SUBSTITUTE(SUBSTITUTE(SUBSTITUTE(SUBSTITUTE(SUBSTITUTE(SUBSTITUTE(A286,"""",""), "“", ""),  "”", ""), ".", ""), "–", ""), "‘", "")</f>
        <v>Nothing sucks like an Electrolux</v>
      </c>
      <c r="C286" s="4" t="s">
        <v>168</v>
      </c>
      <c r="D286" s="3" t="str">
        <f>GetFirstLettersOfAcronym(B286)</f>
        <v>NslaE</v>
      </c>
      <c r="E286" s="3" t="str">
        <f xml:space="preserve"> CONCATENATE("map.add(new MatchingMnemonic(", CHAR(34), D286,  CHAR(34), ", ", "new MatchingMnemonicDetail(", CHAR(34), B286, CHAR(34), ", ", CHAR(34), C286, CHAR(34),")));")</f>
        <v>map.add(new MatchingMnemonic("NslaE", new MatchingMnemonicDetail("Nothing sucks like an Electrolux", "Electrolux")));</v>
      </c>
    </row>
    <row r="287" spans="1:5" ht="28.5" x14ac:dyDescent="0.25">
      <c r="A287" s="4" t="s">
        <v>667</v>
      </c>
      <c r="B287" s="2" t="str">
        <f>SUBSTITUTE(SUBSTITUTE(SUBSTITUTE(SUBSTITUTE(SUBSTITUTE(SUBSTITUTE(A287,"""",""), "“", ""),  "”", ""), ".", ""), "–", ""), "‘", "")</f>
        <v>Nothin’ says lovin’ like somethin’ from the oven</v>
      </c>
      <c r="C287" s="4" t="s">
        <v>668</v>
      </c>
      <c r="D287" s="3" t="str">
        <f>GetFirstLettersOfAcronym(B287)</f>
        <v>Nsllsfto</v>
      </c>
      <c r="E287" s="3" t="str">
        <f xml:space="preserve"> CONCATENATE("map.add(new MatchingMnemonic(", CHAR(34), D287,  CHAR(34), ", ", "new MatchingMnemonicDetail(", CHAR(34), B287, CHAR(34), ", ", CHAR(34), C287, CHAR(34),")));")</f>
        <v>map.add(new MatchingMnemonic("Nsllsfto", new MatchingMnemonicDetail("Nothin’ says lovin’ like somethin’ from the oven", "Pillsbury")));</v>
      </c>
    </row>
    <row r="288" spans="1:5" x14ac:dyDescent="0.25">
      <c r="A288" s="2" t="s">
        <v>482</v>
      </c>
      <c r="B288" s="2" t="str">
        <f>SUBSTITUTE(SUBSTITUTE(SUBSTITUTE(SUBSTITUTE(SUBSTITUTE(SUBSTITUTE(A288,"""",""), "“", ""),  "”", ""), ".", ""), "–", ""), "‘", "")</f>
        <v>Now, that’s better</v>
      </c>
      <c r="C288" s="2" t="s">
        <v>483</v>
      </c>
      <c r="D288" s="3" t="str">
        <f>GetFirstLettersOfAcronym(B288)</f>
        <v>Ntb</v>
      </c>
      <c r="E288" s="3" t="str">
        <f xml:space="preserve"> CONCATENATE("map.add(new MatchingMnemonic(", CHAR(34), D288,  CHAR(34), ", ", "new MatchingMnemonicDetail(", CHAR(34), B288, CHAR(34), ", ", CHAR(34), C288, CHAR(34),")));")</f>
        <v>map.add(new MatchingMnemonic("Ntb", new MatchingMnemonicDetail("Now, that’s better", "SPRINT PCS")));</v>
      </c>
    </row>
    <row r="289" spans="1:5" x14ac:dyDescent="0.25">
      <c r="A289" s="3" t="s">
        <v>743</v>
      </c>
      <c r="B289" s="2" t="str">
        <f>SUBSTITUTE(SUBSTITUTE(SUBSTITUTE(SUBSTITUTE(SUBSTITUTE(SUBSTITUTE(A289,"""",""), "“", ""),  "”", ""), ".", ""), "–", ""), "‘", "")</f>
        <v xml:space="preserve"> Own a Jaguar at a price of a car</v>
      </c>
      <c r="C289" s="3" t="s">
        <v>742</v>
      </c>
      <c r="D289" s="3" t="str">
        <f>GetFirstLettersOfAcronym(B289)</f>
        <v>OaJaapoac</v>
      </c>
      <c r="E289" s="3" t="str">
        <f xml:space="preserve"> CONCATENATE("map.add(new MatchingMnemonic(", CHAR(34), D289,  CHAR(34), ", ", "new MatchingMnemonicDetail(", CHAR(34), B289, CHAR(34), ", ", CHAR(34), C289, CHAR(34),")));")</f>
        <v>map.add(new MatchingMnemonic("OaJaapoac", new MatchingMnemonicDetail(" Own a Jaguar at a price of a car", "Jaguar ")));</v>
      </c>
    </row>
    <row r="290" spans="1:5" x14ac:dyDescent="0.25">
      <c r="A290" s="4" t="s">
        <v>179</v>
      </c>
      <c r="B290" s="2" t="str">
        <f>SUBSTITUTE(SUBSTITUTE(SUBSTITUTE(SUBSTITUTE(SUBSTITUTE(SUBSTITUTE(A290,"""",""), "“", ""),  "”", ""), ".", ""), "–", ""), "‘", "")</f>
        <v>Our business is the American dream</v>
      </c>
      <c r="C290" s="4" t="s">
        <v>180</v>
      </c>
      <c r="D290" s="3" t="str">
        <f>GetFirstLettersOfAcronym(B290)</f>
        <v>ObitAd</v>
      </c>
      <c r="E290" s="3" t="str">
        <f xml:space="preserve"> CONCATENATE("map.add(new MatchingMnemonic(", CHAR(34), D290,  CHAR(34), ", ", "new MatchingMnemonicDetail(", CHAR(34), B290, CHAR(34), ", ", CHAR(34), C290, CHAR(34),")));")</f>
        <v>map.add(new MatchingMnemonic("ObitAd", new MatchingMnemonicDetail("Our business is the American dream", "FannieMae")));</v>
      </c>
    </row>
    <row r="291" spans="1:5" x14ac:dyDescent="0.25">
      <c r="A291" s="4" t="s">
        <v>344</v>
      </c>
      <c r="B291" s="2" t="str">
        <f>SUBSTITUTE(SUBSTITUTE(SUBSTITUTE(SUBSTITUTE(SUBSTITUTE(SUBSTITUTE(A291,"""",""), "“", ""),  "”", ""), ".", ""), "–", ""), "‘", "")</f>
        <v>One client at a time</v>
      </c>
      <c r="C291" s="4" t="s">
        <v>345</v>
      </c>
      <c r="D291" s="3" t="str">
        <f>GetFirstLettersOfAcronym(B291)</f>
        <v>Ocaat</v>
      </c>
      <c r="E291" s="3" t="str">
        <f xml:space="preserve"> CONCATENATE("map.add(new MatchingMnemonic(", CHAR(34), D291,  CHAR(34), ", ", "new MatchingMnemonicDetail(", CHAR(34), B291, CHAR(34), ", ", CHAR(34), C291, CHAR(34),")));")</f>
        <v>map.add(new MatchingMnemonic("Ocaat", new MatchingMnemonicDetail("One client at a time", "MorganStanley")));</v>
      </c>
    </row>
    <row r="292" spans="1:5" x14ac:dyDescent="0.25">
      <c r="A292" s="4" t="s">
        <v>370</v>
      </c>
      <c r="B292" s="2" t="str">
        <f>SUBSTITUTE(SUBSTITUTE(SUBSTITUTE(SUBSTITUTE(SUBSTITUTE(SUBSTITUTE(A292,"""",""), "“", ""),  "”", ""), ".", ""), "–", ""), "‘", "")</f>
        <v>Only fit for a king Nine Lives</v>
      </c>
      <c r="C292" s="4" t="s">
        <v>371</v>
      </c>
      <c r="D292" s="3" t="str">
        <f>GetFirstLettersOfAcronym(B292)</f>
        <v>OffakNL</v>
      </c>
      <c r="E292" s="3" t="str">
        <f xml:space="preserve"> CONCATENATE("map.add(new MatchingMnemonic(", CHAR(34), D292,  CHAR(34), ", ", "new MatchingMnemonicDetail(", CHAR(34), B292, CHAR(34), ", ", CHAR(34), C292, CHAR(34),")));")</f>
        <v>map.add(new MatchingMnemonic("OffakNL", new MatchingMnemonicDetail("Only fit for a king Nine Lives", "Nine Lives Cat Food")));</v>
      </c>
    </row>
    <row r="293" spans="1:5" x14ac:dyDescent="0.25">
      <c r="A293" s="3" t="s">
        <v>735</v>
      </c>
      <c r="B293" s="2" t="str">
        <f>SUBSTITUTE(SUBSTITUTE(SUBSTITUTE(SUBSTITUTE(SUBSTITUTE(SUBSTITUTE(A293,"""",""), "“", ""),  "”", ""), ".", ""), "–", ""), "‘", "")</f>
        <v xml:space="preserve"> Open Happiness</v>
      </c>
      <c r="C293" s="2" t="s">
        <v>124</v>
      </c>
      <c r="D293" s="3" t="str">
        <f>GetFirstLettersOfAcronym(B293)</f>
        <v>OH</v>
      </c>
      <c r="E293" s="3" t="str">
        <f xml:space="preserve"> CONCATENATE("map.add(new MatchingMnemonic(", CHAR(34), D293,  CHAR(34), ", ", "new MatchingMnemonicDetail(", CHAR(34), B293, CHAR(34), ", ", CHAR(34), C293, CHAR(34),")));")</f>
        <v>map.add(new MatchingMnemonic("OH", new MatchingMnemonicDetail(" Open Happiness", "Coca-Cola")));</v>
      </c>
    </row>
    <row r="294" spans="1:5" x14ac:dyDescent="0.25">
      <c r="A294" s="4" t="s">
        <v>390</v>
      </c>
      <c r="B294" s="2" t="str">
        <f>SUBSTITUTE(SUBSTITUTE(SUBSTITUTE(SUBSTITUTE(SUBSTITUTE(SUBSTITUTE(A294,"""",""), "“", ""),  "”", ""), ".", ""), "–", ""), "‘", "")</f>
        <v>Ore-Ida! It’s all-righta!</v>
      </c>
      <c r="C294" s="4" t="s">
        <v>391</v>
      </c>
      <c r="D294" s="3" t="str">
        <f>GetFirstLettersOfAcronym(B294)</f>
        <v>OIa</v>
      </c>
      <c r="E294" s="3" t="str">
        <f xml:space="preserve"> CONCATENATE("map.add(new MatchingMnemonic(", CHAR(34), D294,  CHAR(34), ", ", "new MatchingMnemonicDetail(", CHAR(34), B294, CHAR(34), ", ", CHAR(34), C294, CHAR(34),")));")</f>
        <v>map.add(new MatchingMnemonic("OIa", new MatchingMnemonicDetail("Ore-Ida! It’s all-righta!", "Ore-Ida")));</v>
      </c>
    </row>
    <row r="295" spans="1:5" ht="28.5" x14ac:dyDescent="0.25">
      <c r="A295" s="4" t="s">
        <v>315</v>
      </c>
      <c r="B295" s="2" t="str">
        <f>SUBSTITUTE(SUBSTITUTE(SUBSTITUTE(SUBSTITUTE(SUBSTITUTE(SUBSTITUTE(A295,"""",""), "“", ""),  "”", ""), ".", ""), "–", ""), "‘", "")</f>
        <v>Our repairmen are the loneliest guys in town</v>
      </c>
      <c r="C295" s="4" t="s">
        <v>316</v>
      </c>
      <c r="D295" s="3" t="str">
        <f>GetFirstLettersOfAcronym(B295)</f>
        <v>Oratlgit</v>
      </c>
      <c r="E295" s="3" t="str">
        <f xml:space="preserve"> CONCATENATE("map.add(new MatchingMnemonic(", CHAR(34), D295,  CHAR(34), ", ", "new MatchingMnemonicDetail(", CHAR(34), B295, CHAR(34), ", ", CHAR(34), C295, CHAR(34),")));")</f>
        <v>map.add(new MatchingMnemonic("Oratlgit", new MatchingMnemonicDetail("Our repairmen are the loneliest guys in town", "Maytag Appliances")));</v>
      </c>
    </row>
    <row r="296" spans="1:5" x14ac:dyDescent="0.25">
      <c r="A296" s="4" t="s">
        <v>538</v>
      </c>
      <c r="B296" s="2" t="str">
        <f>SUBSTITUTE(SUBSTITUTE(SUBSTITUTE(SUBSTITUTE(SUBSTITUTE(SUBSTITUTE(A296,"""",""), "“", ""),  "”", ""), ".", ""), "–", ""), "‘", "")</f>
        <v>Only you can prevent forest fires</v>
      </c>
      <c r="C296" s="4" t="s">
        <v>539</v>
      </c>
      <c r="D296" s="3" t="str">
        <f>GetFirstLettersOfAcronym(B296)</f>
        <v>Oycpff</v>
      </c>
      <c r="E296" s="3" t="str">
        <f xml:space="preserve"> CONCATENATE("map.add(new MatchingMnemonic(", CHAR(34), D296,  CHAR(34), ", ", "new MatchingMnemonicDetail(", CHAR(34), B296, CHAR(34), ", ", CHAR(34), C296, CHAR(34),")));")</f>
        <v>map.add(new MatchingMnemonic("Oycpff", new MatchingMnemonicDetail("Only you can prevent forest fires", "U.S. Forest Service")));</v>
      </c>
    </row>
    <row r="297" spans="1:5" x14ac:dyDescent="0.25">
      <c r="A297" s="4" t="s">
        <v>484</v>
      </c>
      <c r="B297" s="2" t="str">
        <f>SUBSTITUTE(SUBSTITUTE(SUBSTITUTE(SUBSTITUTE(SUBSTITUTE(SUBSTITUTE(A297,"""",""), "“", ""),  "”", ""), ".", ""), "–", ""), "‘", "")</f>
        <v>Obey your thirst</v>
      </c>
      <c r="C297" s="4" t="s">
        <v>485</v>
      </c>
      <c r="D297" s="3" t="str">
        <f>GetFirstLettersOfAcronym(B297)</f>
        <v>Oyt</v>
      </c>
      <c r="E297" s="3" t="str">
        <f xml:space="preserve"> CONCATENATE("map.add(new MatchingMnemonic(", CHAR(34), D297,  CHAR(34), ", ", "new MatchingMnemonicDetail(", CHAR(34), B297, CHAR(34), ", ", CHAR(34), C297, CHAR(34),")));")</f>
        <v>map.add(new MatchingMnemonic("Oyt", new MatchingMnemonicDetail("Obey your thirst", "Sprite")));</v>
      </c>
    </row>
    <row r="298" spans="1:5" x14ac:dyDescent="0.25">
      <c r="A298" t="s">
        <v>803</v>
      </c>
      <c r="B298" s="2" t="str">
        <f>SUBSTITUTE(SUBSTITUTE(SUBSTITUTE(SUBSTITUTE(SUBSTITUTE(SUBSTITUTE(TRIM(A298),"""",""), "“", ""),  "”", ""), ".", ""), "–", ""), "‘", "")</f>
        <v>Put a Tiger in your tank</v>
      </c>
      <c r="C298" t="s">
        <v>903</v>
      </c>
      <c r="D298" s="3" t="str">
        <f>GetFirstLettersOfAcronym(B298)</f>
        <v>PaTiyt</v>
      </c>
      <c r="E298" s="3" t="str">
        <f xml:space="preserve"> CONCATENATE("map.add(new MatchingMnemonic(", CHAR(34), D298,  CHAR(34), ", ", "new MatchingMnemonicDetail(", CHAR(34), B298, CHAR(34), ", ", CHAR(34), C298, CHAR(34),")));")</f>
        <v>map.add(new MatchingMnemonic("PaTiyt", new MatchingMnemonicDetail("Put a Tiger in your tank", "Esso")));</v>
      </c>
    </row>
    <row r="299" spans="1:5" x14ac:dyDescent="0.25">
      <c r="A299" s="3" t="s">
        <v>710</v>
      </c>
      <c r="B299" s="2" t="str">
        <f>SUBSTITUTE(SUBSTITUTE(SUBSTITUTE(SUBSTITUTE(SUBSTITUTE(SUBSTITUTE(A299,"""",""), "“", ""),  "”", ""), ".", ""), "–", ""), "‘", "")</f>
        <v xml:space="preserve"> Power, beauty and soul</v>
      </c>
      <c r="C299" s="3" t="s">
        <v>709</v>
      </c>
      <c r="D299" s="3" t="str">
        <f>GetFirstLettersOfAcronym(B299)</f>
        <v>Pbas</v>
      </c>
      <c r="E299" s="3" t="str">
        <f xml:space="preserve"> CONCATENATE("map.add(new MatchingMnemonic(", CHAR(34), D299,  CHAR(34), ", ", "new MatchingMnemonicDetail(", CHAR(34), B299, CHAR(34), ", ", CHAR(34), C299, CHAR(34),")));")</f>
        <v>map.add(new MatchingMnemonic("Pbas", new MatchingMnemonicDetail(" Power, beauty and soul", "Aston Martin ")));</v>
      </c>
    </row>
    <row r="300" spans="1:5" x14ac:dyDescent="0.25">
      <c r="A300" s="3" t="s">
        <v>721</v>
      </c>
      <c r="B300" s="2" t="str">
        <f>SUBSTITUTE(SUBSTITUTE(SUBSTITUTE(SUBSTITUTE(SUBSTITUTE(SUBSTITUTE(A300,"""",""), "“", ""),  "”", ""), ".", ""), "–", ""), "‘", "")</f>
        <v xml:space="preserve"> Push button publishing</v>
      </c>
      <c r="C300" s="3" t="s">
        <v>720</v>
      </c>
      <c r="D300" s="3" t="str">
        <f>GetFirstLettersOfAcronym(B300)</f>
        <v>Pbp</v>
      </c>
      <c r="E300" s="3" t="str">
        <f xml:space="preserve"> CONCATENATE("map.add(new MatchingMnemonic(", CHAR(34), D300,  CHAR(34), ", ", "new MatchingMnemonicDetail(", CHAR(34), B300, CHAR(34), ", ", CHAR(34), C300, CHAR(34),")));")</f>
        <v>map.add(new MatchingMnemonic("Pbp", new MatchingMnemonicDetail(" Push button publishing", "Blogger ")));</v>
      </c>
    </row>
    <row r="301" spans="1:5" x14ac:dyDescent="0.25">
      <c r="A301" s="2" t="s">
        <v>258</v>
      </c>
      <c r="B301" s="2" t="str">
        <f>SUBSTITUTE(SUBSTITUTE(SUBSTITUTE(SUBSTITUTE(SUBSTITUTE(SUBSTITUTE(A301,"""",""), "“", ""),  "”", ""), ".", ""), "–", ""), "‘", "")</f>
        <v>Pure clean, pure Ivory</v>
      </c>
      <c r="C301" s="2" t="s">
        <v>259</v>
      </c>
      <c r="D301" s="3" t="str">
        <f>GetFirstLettersOfAcronym(B301)</f>
        <v>PcpI</v>
      </c>
      <c r="E301" s="3" t="str">
        <f xml:space="preserve"> CONCATENATE("map.add(new MatchingMnemonic(", CHAR(34), D301,  CHAR(34), ", ", "new MatchingMnemonicDetail(", CHAR(34), B301, CHAR(34), ", ", CHAR(34), C301, CHAR(34),")));")</f>
        <v>map.add(new MatchingMnemonic("PcpI", new MatchingMnemonicDetail("Pure clean, pure Ivory", "Ivory Soap")));</v>
      </c>
    </row>
    <row r="302" spans="1:5" x14ac:dyDescent="0.25">
      <c r="A302" s="4" t="s">
        <v>605</v>
      </c>
      <c r="B302" s="2" t="str">
        <f>SUBSTITUTE(SUBSTITUTE(SUBSTITUTE(SUBSTITUTE(SUBSTITUTE(SUBSTITUTE(A302,"""",""), "“", ""),  "”", ""), ".", ""), "–", ""), "‘", "")</f>
        <v>Pure cane sugar from Hawaii</v>
      </c>
      <c r="C302" s="4" t="s">
        <v>606</v>
      </c>
      <c r="D302" s="3" t="str">
        <f>GetFirstLettersOfAcronym(B302)</f>
        <v>PcsfH</v>
      </c>
      <c r="E302" s="3" t="str">
        <f xml:space="preserve"> CONCATENATE("map.add(new MatchingMnemonic(", CHAR(34), D302,  CHAR(34), ", ", "new MatchingMnemonicDetail(", CHAR(34), B302, CHAR(34), ", ", CHAR(34), C302, CHAR(34),")));")</f>
        <v>map.add(new MatchingMnemonic("PcsfH", new MatchingMnemonicDetail("Pure cane sugar from Hawaii", "C&amp;H")));</v>
      </c>
    </row>
    <row r="303" spans="1:5" x14ac:dyDescent="0.25">
      <c r="A303" s="2" t="s">
        <v>97</v>
      </c>
      <c r="B303" s="2" t="str">
        <f>SUBSTITUTE(SUBSTITUTE(SUBSTITUTE(SUBSTITUTE(SUBSTITUTE(SUBSTITUTE(A303,"""",""), "“", ""),  "”", ""), ".", ""), "–", ""), "‘", "")</f>
        <v>Please don’t squeeze the Charmin</v>
      </c>
      <c r="C303" s="2" t="s">
        <v>98</v>
      </c>
      <c r="D303" s="3" t="str">
        <f>GetFirstLettersOfAcronym(B303)</f>
        <v>PdstC</v>
      </c>
      <c r="E303" s="3" t="str">
        <f xml:space="preserve"> CONCATENATE("map.add(new MatchingMnemonic(", CHAR(34), D303,  CHAR(34), ", ", "new MatchingMnemonicDetail(", CHAR(34), B303, CHAR(34), ", ", CHAR(34), C303, CHAR(34),")));")</f>
        <v>map.add(new MatchingMnemonic("PdstC", new MatchingMnemonicDetail("Please don’t squeeze the Charmin", "Charmin")));</v>
      </c>
    </row>
    <row r="304" spans="1:5" x14ac:dyDescent="0.25">
      <c r="A304" s="2" t="s">
        <v>408</v>
      </c>
      <c r="B304" s="2" t="str">
        <f>SUBSTITUTE(SUBSTITUTE(SUBSTITUTE(SUBSTITUTE(SUBSTITUTE(SUBSTITUTE(A304,"""",""), "“", ""),  "”", ""), ".", ""), "–", ""), "‘", "")</f>
        <v>Pepperidge Farm remembers</v>
      </c>
      <c r="C304" s="2" t="s">
        <v>409</v>
      </c>
      <c r="D304" s="3" t="str">
        <f>GetFirstLettersOfAcronym(B304)</f>
        <v>PFr</v>
      </c>
      <c r="E304" s="3" t="str">
        <f xml:space="preserve"> CONCATENATE("map.add(new MatchingMnemonic(", CHAR(34), D304,  CHAR(34), ", ", "new MatchingMnemonicDetail(", CHAR(34), B304, CHAR(34), ", ", CHAR(34), C304, CHAR(34),")));")</f>
        <v>map.add(new MatchingMnemonic("PFr", new MatchingMnemonicDetail("Pepperidge Farm remembers", "Pepperidge Farm")));</v>
      </c>
    </row>
    <row r="305" spans="1:5" x14ac:dyDescent="0.25">
      <c r="A305" s="2" t="s">
        <v>317</v>
      </c>
      <c r="B305" s="2" t="str">
        <f>SUBSTITUTE(SUBSTITUTE(SUBSTITUTE(SUBSTITUTE(SUBSTITUTE(SUBSTITUTE(A305,"""",""), "“", ""),  "”", ""), ".", ""), "–", ""), "‘", "")</f>
        <v>Passion for the road</v>
      </c>
      <c r="C305" s="2" t="s">
        <v>318</v>
      </c>
      <c r="D305" s="3" t="str">
        <f>GetFirstLettersOfAcronym(B305)</f>
        <v>Pftr</v>
      </c>
      <c r="E305" s="3" t="str">
        <f xml:space="preserve"> CONCATENATE("map.add(new MatchingMnemonic(", CHAR(34), D305,  CHAR(34), ", ", "new MatchingMnemonicDetail(", CHAR(34), B305, CHAR(34), ", ", CHAR(34), C305, CHAR(34),")));")</f>
        <v>map.add(new MatchingMnemonic("Pftr", new MatchingMnemonicDetail("Passion for the road", "Mazda")));</v>
      </c>
    </row>
    <row r="306" spans="1:5" ht="28.5" x14ac:dyDescent="0.25">
      <c r="A306" s="4" t="s">
        <v>413</v>
      </c>
      <c r="B306" s="2" t="str">
        <f>SUBSTITUTE(SUBSTITUTE(SUBSTITUTE(SUBSTITUTE(SUBSTITUTE(SUBSTITUTE(A306,"""",""), "“", ""),  "”", ""), ".", ""), "–", ""), "‘", "")</f>
        <v>Pepsi, for those who think young</v>
      </c>
      <c r="C306" s="4" t="s">
        <v>411</v>
      </c>
      <c r="D306" s="3" t="str">
        <f>GetFirstLettersOfAcronym(B306)</f>
        <v>Pftwty</v>
      </c>
      <c r="E306" s="3" t="str">
        <f xml:space="preserve"> CONCATENATE("map.add(new MatchingMnemonic(", CHAR(34), D306,  CHAR(34), ", ", "new MatchingMnemonicDetail(", CHAR(34), B306, CHAR(34), ", ", CHAR(34), C306, CHAR(34),")));")</f>
        <v>map.add(new MatchingMnemonic("Pftwty", new MatchingMnemonicDetail("Pepsi, for those who think young", "Pepsi")));</v>
      </c>
    </row>
    <row r="307" spans="1:5" x14ac:dyDescent="0.25">
      <c r="A307" s="2" t="s">
        <v>414</v>
      </c>
      <c r="B307" s="2" t="str">
        <f>SUBSTITUTE(SUBSTITUTE(SUBSTITUTE(SUBSTITUTE(SUBSTITUTE(SUBSTITUTE(A307,"""",""), "“", ""),  "”", ""), ".", ""), "–", ""), "‘", "")</f>
        <v>Pepsi-Cola hits the spot</v>
      </c>
      <c r="C307" s="2" t="s">
        <v>411</v>
      </c>
      <c r="D307" s="3" t="str">
        <f>GetFirstLettersOfAcronym(B307)</f>
        <v>Phts</v>
      </c>
      <c r="E307" s="3" t="str">
        <f xml:space="preserve"> CONCATENATE("map.add(new MatchingMnemonic(", CHAR(34), D307,  CHAR(34), ", ", "new MatchingMnemonicDetail(", CHAR(34), B307, CHAR(34), ", ", CHAR(34), C307, CHAR(34),")));")</f>
        <v>map.add(new MatchingMnemonic("Phts", new MatchingMnemonicDetail("Pepsi-Cola hits the spot", "Pepsi")));</v>
      </c>
    </row>
    <row r="308" spans="1:5" x14ac:dyDescent="0.25">
      <c r="A308" s="4" t="s">
        <v>663</v>
      </c>
      <c r="B308" s="2" t="str">
        <f>SUBSTITUTE(SUBSTITUTE(SUBSTITUTE(SUBSTITUTE(SUBSTITUTE(SUBSTITUTE(A308,"""",""), "“", ""),  "”", ""), ".", ""), "–", ""), "‘", "")</f>
        <v>Pepsi hits the spot</v>
      </c>
      <c r="C308" s="4" t="s">
        <v>411</v>
      </c>
      <c r="D308" s="3" t="str">
        <f>GetFirstLettersOfAcronym(B308)</f>
        <v>Phts</v>
      </c>
      <c r="E308" s="3" t="str">
        <f xml:space="preserve"> CONCATENATE("map.add(new MatchingMnemonic(", CHAR(34), D308,  CHAR(34), ", ", "new MatchingMnemonicDetail(", CHAR(34), B308, CHAR(34), ", ", CHAR(34), C308, CHAR(34),")));")</f>
        <v>map.add(new MatchingMnemonic("Phts", new MatchingMnemonicDetail("Pepsi hits the spot", "Pepsi")));</v>
      </c>
    </row>
    <row r="309" spans="1:5" x14ac:dyDescent="0.25">
      <c r="A309" s="4" t="s">
        <v>185</v>
      </c>
      <c r="B309" s="2" t="str">
        <f>SUBSTITUTE(SUBSTITUTE(SUBSTITUTE(SUBSTITUTE(SUBSTITUTE(SUBSTITUTE(A309,"""",""), "“", ""),  "”", ""), ".", ""), "–", ""), "‘", "")</f>
        <v>Play Laugh Grow</v>
      </c>
      <c r="C309" s="4" t="s">
        <v>186</v>
      </c>
      <c r="D309" s="3" t="str">
        <f>GetFirstLettersOfAcronym(B309)</f>
        <v>PLG</v>
      </c>
      <c r="E309" s="3" t="str">
        <f xml:space="preserve"> CONCATENATE("map.add(new MatchingMnemonic(", CHAR(34), D309,  CHAR(34), ", ", "new MatchingMnemonicDetail(", CHAR(34), B309, CHAR(34), ", ", CHAR(34), C309, CHAR(34),")));")</f>
        <v>map.add(new MatchingMnemonic("PLG", new MatchingMnemonicDetail("Play Laugh Grow", "Fisher-Price")));</v>
      </c>
    </row>
    <row r="310" spans="1:5" ht="28.5" x14ac:dyDescent="0.25">
      <c r="A310" s="4" t="s">
        <v>224</v>
      </c>
      <c r="B310" s="2" t="str">
        <f>SUBSTITUTE(SUBSTITUTE(SUBSTITUTE(SUBSTITUTE(SUBSTITUTE(SUBSTITUTE(A310,"""",""), "“", ""),  "”", ""), ".", ""), "–", ""), "‘", "")</f>
        <v>Pardon me, do you have any Grey Poupon?</v>
      </c>
      <c r="C310" s="4" t="s">
        <v>225</v>
      </c>
      <c r="D310" s="3" t="str">
        <f>GetFirstLettersOfAcronym(B310)</f>
        <v>PmdyhaGP</v>
      </c>
      <c r="E310" s="3" t="str">
        <f xml:space="preserve"> CONCATENATE("map.add(new MatchingMnemonic(", CHAR(34), D310,  CHAR(34), ", ", "new MatchingMnemonicDetail(", CHAR(34), B310, CHAR(34), ", ", CHAR(34), C310, CHAR(34),")));")</f>
        <v>map.add(new MatchingMnemonic("PmdyhaGP", new MatchingMnemonicDetail("Pardon me, do you have any Grey Poupon?", "Grey Poupon")));</v>
      </c>
    </row>
    <row r="311" spans="1:5" x14ac:dyDescent="0.25">
      <c r="A311" s="4" t="s">
        <v>594</v>
      </c>
      <c r="B311" s="2" t="str">
        <f>SUBSTITUTE(SUBSTITUTE(SUBSTITUTE(SUBSTITUTE(SUBSTITUTE(SUBSTITUTE(A311,"""",""), "“", ""),  "”", ""), ".", ""), "–", ""), "‘", "")</f>
        <v>Plop plop, fizz fizz, oh what a relief it is</v>
      </c>
      <c r="C311" s="4" t="s">
        <v>11</v>
      </c>
      <c r="D311" s="3" t="str">
        <f>GetFirstLettersOfAcronym(B311)</f>
        <v>Ppffowarii</v>
      </c>
      <c r="E311" s="3" t="str">
        <f xml:space="preserve"> CONCATENATE("map.add(new MatchingMnemonic(", CHAR(34), D311,  CHAR(34), ", ", "new MatchingMnemonicDetail(", CHAR(34), B311, CHAR(34), ", ", CHAR(34), C311, CHAR(34),")));")</f>
        <v>map.add(new MatchingMnemonic("Ppffowarii", new MatchingMnemonicDetail("Plop plop, fizz fizz, oh what a relief it is", "Alka-Seltzer")));</v>
      </c>
    </row>
    <row r="312" spans="1:5" ht="28.5" x14ac:dyDescent="0.25">
      <c r="A312" t="s">
        <v>794</v>
      </c>
      <c r="B312" s="2" t="str">
        <f>SUBSTITUTE(SUBSTITUTE(SUBSTITUTE(SUBSTITUTE(SUBSTITUTE(SUBSTITUTE(TRIM(A312),"""",""), "“", ""),  "”", ""), ".", ""), "–", ""), "‘", "")</f>
        <v>Plop, plop, fizz, fizz, oh what a relief it is Plink, plink, fizz, fizz</v>
      </c>
      <c r="C312" t="s">
        <v>894</v>
      </c>
      <c r="D312" s="3" t="str">
        <f>GetFirstLettersOfAcronym(B312)</f>
        <v>PpffowariiPpff</v>
      </c>
      <c r="E312" s="3" t="str">
        <f xml:space="preserve"> CONCATENATE("map.add(new MatchingMnemonic(", CHAR(34), D312,  CHAR(34), ", ", "new MatchingMnemonicDetail(", CHAR(34), B312, CHAR(34), ", ", CHAR(34), C312, CHAR(34),")));")</f>
        <v>map.add(new MatchingMnemonic("PpffowariiPpff", new MatchingMnemonicDetail("Plop, plop, fizz, fizz, oh what a relief it is Plink, plink, fizz, fizz", "Alka Seltzer")));</v>
      </c>
    </row>
    <row r="313" spans="1:5" x14ac:dyDescent="0.25">
      <c r="A313" s="4" t="s">
        <v>244</v>
      </c>
      <c r="B313" s="2" t="str">
        <f>SUBSTITUTE(SUBSTITUTE(SUBSTITUTE(SUBSTITUTE(SUBSTITUTE(SUBSTITUTE(A313,"""",""), "“", ""),  "”", ""), ".", ""), "–", ""), "‘", "")</f>
        <v>Pleasing people the world over</v>
      </c>
      <c r="C313" s="4" t="s">
        <v>245</v>
      </c>
      <c r="D313" s="3" t="str">
        <f>GetFirstLettersOfAcronym(B313)</f>
        <v>Pptwo</v>
      </c>
      <c r="E313" s="3" t="str">
        <f xml:space="preserve"> CONCATENATE("map.add(new MatchingMnemonic(", CHAR(34), D313,  CHAR(34), ", ", "new MatchingMnemonicDetail(", CHAR(34), B313, CHAR(34), ", ", CHAR(34), C313, CHAR(34),")));")</f>
        <v>map.add(new MatchingMnemonic("Pptwo", new MatchingMnemonicDetail("Pleasing people the world over", "Holiday Inn")));</v>
      </c>
    </row>
    <row r="314" spans="1:5" x14ac:dyDescent="0.25">
      <c r="A314" t="s">
        <v>824</v>
      </c>
      <c r="B314" s="2" t="str">
        <f>SUBSTITUTE(SUBSTITUTE(SUBSTITUTE(SUBSTITUTE(SUBSTITUTE(SUBSTITUTE(TRIM(A314),"""",""), "“", ""),  "”", ""), ".", ""), "–", ""), "‘", "")</f>
        <v>Preparing to be a beautiful lady</v>
      </c>
      <c r="C314" t="s">
        <v>924</v>
      </c>
      <c r="D314" s="3" t="str">
        <f>GetFirstLettersOfAcronym(B314)</f>
        <v>Ptbabl</v>
      </c>
      <c r="E314" s="3" t="str">
        <f xml:space="preserve"> CONCATENATE("map.add(new MatchingMnemonic(", CHAR(34), D314,  CHAR(34), ", ", "new MatchingMnemonicDetail(", CHAR(34), B314, CHAR(34), ", ", CHAR(34), C314, CHAR(34),")));")</f>
        <v>map.add(new MatchingMnemonic("Ptbabl", new MatchingMnemonicDetail("Preparing to be a beautiful lady", "Pears Soap")));</v>
      </c>
    </row>
    <row r="315" spans="1:5" x14ac:dyDescent="0.25">
      <c r="A315" t="s">
        <v>866</v>
      </c>
      <c r="B315" s="2" t="str">
        <f>SUBSTITUTE(SUBSTITUTE(SUBSTITUTE(SUBSTITUTE(SUBSTITUTE(SUBSTITUTE(TRIM(A315),"""",""), "“", ""),  "”", ""), ".", ""), "–", ""), "‘", "")</f>
        <v>Probably the best beer in the world</v>
      </c>
      <c r="C315" t="s">
        <v>780</v>
      </c>
      <c r="D315" s="3" t="str">
        <f>GetFirstLettersOfAcronym(B315)</f>
        <v>Ptbbitw</v>
      </c>
      <c r="E315" s="3" t="str">
        <f xml:space="preserve"> CONCATENATE("map.add(new MatchingMnemonic(", CHAR(34), D315,  CHAR(34), ", ", "new MatchingMnemonicDetail(", CHAR(34), B315, CHAR(34), ", ", CHAR(34), C315, CHAR(34),")));")</f>
        <v>map.add(new MatchingMnemonic("Ptbbitw", new MatchingMnemonicDetail("Probably the best beer in the world", "Carlsberg")));</v>
      </c>
    </row>
    <row r="316" spans="1:5" x14ac:dyDescent="0.25">
      <c r="A316" s="4" t="s">
        <v>356</v>
      </c>
      <c r="B316" s="2" t="str">
        <f>SUBSTITUTE(SUBSTITUTE(SUBSTITUTE(SUBSTITUTE(SUBSTITUTE(SUBSTITUTE(A316,"""",""), "“", ""),  "”", ""), ".", ""), "–", ""), "‘", "")</f>
        <v>Pork The other white meat</v>
      </c>
      <c r="C316" s="4" t="s">
        <v>357</v>
      </c>
      <c r="D316" s="3" t="str">
        <f>GetFirstLettersOfAcronym(B316)</f>
        <v>PTowm</v>
      </c>
      <c r="E316" s="3" t="str">
        <f xml:space="preserve"> CONCATENATE("map.add(new MatchingMnemonic(", CHAR(34), D316,  CHAR(34), ", ", "new MatchingMnemonicDetail(", CHAR(34), B316, CHAR(34), ", ", CHAR(34), C316, CHAR(34),")));")</f>
        <v>map.add(new MatchingMnemonic("PTowm", new MatchingMnemonicDetail("Pork The other white meat", "National Pork Board")));</v>
      </c>
    </row>
    <row r="317" spans="1:5" x14ac:dyDescent="0.25">
      <c r="A317" s="2" t="s">
        <v>662</v>
      </c>
      <c r="B317" s="2" t="str">
        <f>SUBSTITUTE(SUBSTITUTE(SUBSTITUTE(SUBSTITUTE(SUBSTITUTE(SUBSTITUTE(A317,"""",""), "“", ""),  "”", ""), ".", ""), "–", ""), "‘", "")</f>
        <v>PepsiŃfor those who think young</v>
      </c>
      <c r="C317" s="2" t="s">
        <v>411</v>
      </c>
      <c r="D317" s="3" t="str">
        <f>GetFirstLettersOfAcronym(B317)</f>
        <v>Ptwty</v>
      </c>
      <c r="E317" s="3" t="str">
        <f xml:space="preserve"> CONCATENATE("map.add(new MatchingMnemonic(", CHAR(34), D317,  CHAR(34), ", ", "new MatchingMnemonicDetail(", CHAR(34), B317, CHAR(34), ", ", CHAR(34), C317, CHAR(34),")));")</f>
        <v>map.add(new MatchingMnemonic("Ptwty", new MatchingMnemonicDetail("PepsiŃfor those who think young", "Pepsi")));</v>
      </c>
    </row>
    <row r="318" spans="1:5" x14ac:dyDescent="0.25">
      <c r="A318" s="4" t="s">
        <v>173</v>
      </c>
      <c r="B318" s="2" t="str">
        <f>SUBSTITUTE(SUBSTITUTE(SUBSTITUTE(SUBSTITUTE(SUBSTITUTE(SUBSTITUTE(A318,"""",""), "“", ""),  "”", ""), ".", ""), "–", ""), "‘", "")</f>
        <v>Quality in everything we do</v>
      </c>
      <c r="C318" s="4" t="s">
        <v>174</v>
      </c>
      <c r="D318" s="3" t="str">
        <f>GetFirstLettersOfAcronym(B318)</f>
        <v>Qiewd</v>
      </c>
      <c r="E318" s="3" t="str">
        <f xml:space="preserve"> CONCATENATE("map.add(new MatchingMnemonic(", CHAR(34), D318,  CHAR(34), ", ", "new MatchingMnemonicDetail(", CHAR(34), B318, CHAR(34), ", ", CHAR(34), C318, CHAR(34),")));")</f>
        <v>map.add(new MatchingMnemonic("Qiewd", new MatchingMnemonicDetail("Quality in everything we do", "Ernst &amp; Young")));</v>
      </c>
    </row>
    <row r="319" spans="1:5" x14ac:dyDescent="0.25">
      <c r="A319" s="4" t="s">
        <v>192</v>
      </c>
      <c r="B319" s="2" t="str">
        <f>SUBSTITUTE(SUBSTITUTE(SUBSTITUTE(SUBSTITUTE(SUBSTITUTE(SUBSTITUTE(A319,"""",""), "“", ""),  "”", ""), ".", ""), "–", ""), "‘", "")</f>
        <v>Quality is job one</v>
      </c>
      <c r="C319" s="4" t="s">
        <v>190</v>
      </c>
      <c r="D319" s="3" t="str">
        <f>GetFirstLettersOfAcronym(B319)</f>
        <v>Qijo</v>
      </c>
      <c r="E319" s="3" t="str">
        <f xml:space="preserve"> CONCATENATE("map.add(new MatchingMnemonic(", CHAR(34), D319,  CHAR(34), ", ", "new MatchingMnemonicDetail(", CHAR(34), B319, CHAR(34), ", ", CHAR(34), C319, CHAR(34),")));")</f>
        <v>map.add(new MatchingMnemonic("Qijo", new MatchingMnemonicDetail("Quality is job one", "Ford")));</v>
      </c>
    </row>
    <row r="320" spans="1:5" x14ac:dyDescent="0.25">
      <c r="A320" t="s">
        <v>850</v>
      </c>
      <c r="B320" s="2" t="str">
        <f>SUBSTITUTE(SUBSTITUTE(SUBSTITUTE(SUBSTITUTE(SUBSTITUTE(SUBSTITUTE(TRIM(A320),"""",""), "“", ""),  "”", ""), ".", ""), "–", ""), "‘", "")</f>
        <v>Quality never goes out of style</v>
      </c>
      <c r="C320" t="s">
        <v>913</v>
      </c>
      <c r="D320" s="3" t="str">
        <f>GetFirstLettersOfAcronym(B320)</f>
        <v>Qngoos</v>
      </c>
      <c r="E320" s="3" t="str">
        <f xml:space="preserve"> CONCATENATE("map.add(new MatchingMnemonic(", CHAR(34), D320,  CHAR(34), ", ", "new MatchingMnemonicDetail(", CHAR(34), B320, CHAR(34), ", ", CHAR(34), C320, CHAR(34),")));")</f>
        <v>map.add(new MatchingMnemonic("Qngoos", new MatchingMnemonicDetail("Quality never goes out of style", "Levis")));</v>
      </c>
    </row>
    <row r="321" spans="1:5" x14ac:dyDescent="0.25">
      <c r="A321" s="2" t="s">
        <v>578</v>
      </c>
      <c r="B321" s="2" t="str">
        <f>SUBSTITUTE(SUBSTITUTE(SUBSTITUTE(SUBSTITUTE(SUBSTITUTE(SUBSTITUTE(A321,"""",""), "“", ""),  "”", ""), ".", ""), "–", ""), "‘", "")</f>
        <v>Ring around the collar</v>
      </c>
      <c r="C321" s="2" t="s">
        <v>579</v>
      </c>
      <c r="D321" s="3" t="str">
        <f>GetFirstLettersOfAcronym(B321)</f>
        <v>Ratc</v>
      </c>
      <c r="E321" s="3" t="str">
        <f xml:space="preserve"> CONCATENATE("map.add(new MatchingMnemonic(", CHAR(34), D321,  CHAR(34), ", ", "new MatchingMnemonicDetail(", CHAR(34), B321, CHAR(34), ", ", CHAR(34), C321, CHAR(34),")));")</f>
        <v>map.add(new MatchingMnemonic("Ratc", new MatchingMnemonicDetail("Ring around the collar", "Wisk Laundry Detergent")));</v>
      </c>
    </row>
    <row r="322" spans="1:5" x14ac:dyDescent="0.25">
      <c r="A322" t="s">
        <v>861</v>
      </c>
      <c r="B322" s="2" t="str">
        <f>SUBSTITUTE(SUBSTITUTE(SUBSTITUTE(SUBSTITUTE(SUBSTITUTE(SUBSTITUTE(TRIM(A322),"""",""), "“", ""),  "”", ""), ".", ""), "–", ""), "‘", "")</f>
        <v>Rare but good</v>
      </c>
      <c r="C322" t="s">
        <v>910</v>
      </c>
      <c r="D322" s="3" t="str">
        <f>GetFirstLettersOfAcronym(B322)</f>
        <v>Rbg</v>
      </c>
      <c r="E322" s="3" t="str">
        <f xml:space="preserve"> CONCATENATE("map.add(new MatchingMnemonic(", CHAR(34), D322,  CHAR(34), ", ", "new MatchingMnemonicDetail(", CHAR(34), B322, CHAR(34), ", ", CHAR(34), C322, CHAR(34),")));")</f>
        <v>map.add(new MatchingMnemonic("Rbg", new MatchingMnemonicDetail("Rare but good", "Imperial Leather")));</v>
      </c>
    </row>
    <row r="323" spans="1:5" x14ac:dyDescent="0.25">
      <c r="A323" t="s">
        <v>832</v>
      </c>
      <c r="B323" s="2" t="str">
        <f>SUBSTITUTE(SUBSTITUTE(SUBSTITUTE(SUBSTITUTE(SUBSTITUTE(SUBSTITUTE(TRIM(A323),"""",""), "“", ""),  "”", ""), ".", ""), "–", ""), "‘", "")</f>
        <v>Reassuringly Expensive</v>
      </c>
      <c r="C323" t="s">
        <v>935</v>
      </c>
      <c r="D323" s="3" t="str">
        <f>GetFirstLettersOfAcronym(B323)</f>
        <v>RE</v>
      </c>
      <c r="E323" s="3" t="str">
        <f xml:space="preserve"> CONCATENATE("map.add(new MatchingMnemonic(", CHAR(34), D323,  CHAR(34), ", ", "new MatchingMnemonicDetail(", CHAR(34), B323, CHAR(34), ", ", CHAR(34), C323, CHAR(34),")));")</f>
        <v>map.add(new MatchingMnemonic("RE", new MatchingMnemonicDetail("Reassuringly Expensive", "Stella Artois")));</v>
      </c>
    </row>
    <row r="324" spans="1:5" x14ac:dyDescent="0.25">
      <c r="A324" s="2" t="s">
        <v>181</v>
      </c>
      <c r="B324" s="2" t="str">
        <f>SUBSTITUTE(SUBSTITUTE(SUBSTITUTE(SUBSTITUTE(SUBSTITUTE(SUBSTITUTE(A324,"""",""), "“", ""),  "”", ""), ".", ""), "–", ""), "‘", "")</f>
        <v>Relax, it’s FedEx</v>
      </c>
      <c r="C324" s="2" t="s">
        <v>182</v>
      </c>
      <c r="D324" s="3" t="str">
        <f>GetFirstLettersOfAcronym(B324)</f>
        <v>RiF</v>
      </c>
      <c r="E324" s="3" t="str">
        <f xml:space="preserve"> CONCATENATE("map.add(new MatchingMnemonic(", CHAR(34), D324,  CHAR(34), ", ", "new MatchingMnemonicDetail(", CHAR(34), B324, CHAR(34), ", ", CHAR(34), C324, CHAR(34),")));")</f>
        <v>map.add(new MatchingMnemonic("RiF", new MatchingMnemonicDetail("Relax, it’s FedEx", "FedEx")));</v>
      </c>
    </row>
    <row r="325" spans="1:5" x14ac:dyDescent="0.25">
      <c r="A325" s="2" t="s">
        <v>438</v>
      </c>
      <c r="B325" s="2" t="str">
        <f>SUBSTITUTE(SUBSTITUTE(SUBSTITUTE(SUBSTITUTE(SUBSTITUTE(SUBSTITUTE(A325,"""",""), "“", ""),  "”", ""), ".", ""), "–", ""), "‘", "")</f>
        <v>RAID kills bugs dead</v>
      </c>
      <c r="C325" s="2" t="s">
        <v>439</v>
      </c>
      <c r="D325" s="3" t="str">
        <f>GetFirstLettersOfAcronym(B325)</f>
        <v>Rkbd</v>
      </c>
      <c r="E325" s="3" t="str">
        <f xml:space="preserve"> CONCATENATE("map.add(new MatchingMnemonic(", CHAR(34), D325,  CHAR(34), ", ", "new MatchingMnemonicDetail(", CHAR(34), B325, CHAR(34), ", ", CHAR(34), C325, CHAR(34),")));")</f>
        <v>map.add(new MatchingMnemonic("Rkbd", new MatchingMnemonicDetail("RAID kills bugs dead", "RAID")));</v>
      </c>
    </row>
    <row r="326" spans="1:5" x14ac:dyDescent="0.25">
      <c r="A326" s="2" t="s">
        <v>38</v>
      </c>
      <c r="B326" s="2" t="str">
        <f>SUBSTITUTE(SUBSTITUTE(SUBSTITUTE(SUBSTITUTE(SUBSTITUTE(SUBSTITUTE(A326,"""",""), "“", ""),  "”", ""), ".", ""), "–", ""), "‘", "")</f>
        <v>Reach out and touch someone</v>
      </c>
      <c r="C326" s="2" t="s">
        <v>39</v>
      </c>
      <c r="D326" s="3" t="str">
        <f>GetFirstLettersOfAcronym(B326)</f>
        <v>Roats</v>
      </c>
      <c r="E326" s="3" t="str">
        <f xml:space="preserve"> CONCATENATE("map.add(new MatchingMnemonic(", CHAR(34), D326,  CHAR(34), ", ", "new MatchingMnemonicDetail(", CHAR(34), B326, CHAR(34), ", ", CHAR(34), C326, CHAR(34),")));")</f>
        <v>map.add(new MatchingMnemonic("Roats", new MatchingMnemonicDetail("Reach out and touch someone", "AT&amp;T")));</v>
      </c>
    </row>
    <row r="327" spans="1:5" x14ac:dyDescent="0.25">
      <c r="A327" s="4" t="s">
        <v>147</v>
      </c>
      <c r="B327" s="2" t="str">
        <f>SUBSTITUTE(SUBSTITUTE(SUBSTITUTE(SUBSTITUTE(SUBSTITUTE(SUBSTITUTE(A327,"""",""), "“", ""),  "”", ""), ".", ""), "–", ""), "‘", "")</f>
        <v>Restoring the joy of motion</v>
      </c>
      <c r="C327" s="4" t="s">
        <v>148</v>
      </c>
      <c r="D327" s="3" t="str">
        <f>GetFirstLettersOfAcronym(B327)</f>
        <v>Rtjom</v>
      </c>
      <c r="E327" s="3" t="str">
        <f xml:space="preserve"> CONCATENATE("map.add(new MatchingMnemonic(", CHAR(34), D327,  CHAR(34), ", ", "new MatchingMnemonicDetail(", CHAR(34), B327, CHAR(34), ", ", CHAR(34), C327, CHAR(34),")));")</f>
        <v>map.add(new MatchingMnemonic("Rtjom", new MatchingMnemonicDetail("Restoring the joy of motion", "DePuy Orthopedics")));</v>
      </c>
    </row>
    <row r="328" spans="1:5" x14ac:dyDescent="0.25">
      <c r="A328" s="2" t="s">
        <v>435</v>
      </c>
      <c r="B328" s="2" t="str">
        <f>SUBSTITUTE(SUBSTITUTE(SUBSTITUTE(SUBSTITUTE(SUBSTITUTE(SUBSTITUTE(A328,"""",""), "“", ""),  "”", ""), ".", ""), "–", ""), "‘", "")</f>
        <v>Ride the light</v>
      </c>
      <c r="C328" s="2" t="s">
        <v>434</v>
      </c>
      <c r="D328" s="3" t="str">
        <f>GetFirstLettersOfAcronym(B328)</f>
        <v>Rtl</v>
      </c>
      <c r="E328" s="3" t="str">
        <f xml:space="preserve"> CONCATENATE("map.add(new MatchingMnemonic(", CHAR(34), D328,  CHAR(34), ", ", "new MatchingMnemonicDetail(", CHAR(34), B328, CHAR(34), ", ", CHAR(34), C328, CHAR(34),")));")</f>
        <v>map.add(new MatchingMnemonic("Rtl", new MatchingMnemonicDetail("Ride the light", "Qwest")));</v>
      </c>
    </row>
    <row r="329" spans="1:5" x14ac:dyDescent="0.25">
      <c r="A329" s="2" t="s">
        <v>669</v>
      </c>
      <c r="B329" s="2" t="str">
        <f>SUBSTITUTE(SUBSTITUTE(SUBSTITUTE(SUBSTITUTE(SUBSTITUTE(SUBSTITUTE(A329,"""",""), "“", ""),  "”", ""), ".", ""), "–", ""), "‘", "")</f>
        <v>Rice-a-Roni, the San Francisco treat</v>
      </c>
      <c r="C329" s="2" t="s">
        <v>670</v>
      </c>
      <c r="D329" s="3" t="str">
        <f>GetFirstLettersOfAcronym(B329)</f>
        <v>RtSFt</v>
      </c>
      <c r="E329" s="3" t="str">
        <f xml:space="preserve"> CONCATENATE("map.add(new MatchingMnemonic(", CHAR(34), D329,  CHAR(34), ", ", "new MatchingMnemonicDetail(", CHAR(34), B329, CHAR(34), ", ", CHAR(34), C329, CHAR(34),")));")</f>
        <v>map.add(new MatchingMnemonic("RtSFt", new MatchingMnemonicDetail("Rice-a-Roni, the San Francisco treat", "Rice-a-Roni")));</v>
      </c>
    </row>
    <row r="330" spans="1:5" x14ac:dyDescent="0.25">
      <c r="A330" s="2" t="s">
        <v>685</v>
      </c>
      <c r="B330" s="2" t="str">
        <f>SUBSTITUTE(SUBSTITUTE(SUBSTITUTE(SUBSTITUTE(SUBSTITUTE(SUBSTITUTE(A330,"""",""), "“", ""),  "”", ""), ".", ""), "–", ""), "‘", "")</f>
        <v>Raise your hand if you’re sure</v>
      </c>
      <c r="C330" s="2" t="s">
        <v>686</v>
      </c>
      <c r="D330" s="3" t="str">
        <f>GetFirstLettersOfAcronym(B330)</f>
        <v>Ryhiys</v>
      </c>
      <c r="E330" s="3" t="str">
        <f xml:space="preserve"> CONCATENATE("map.add(new MatchingMnemonic(", CHAR(34), D330,  CHAR(34), ", ", "new MatchingMnemonicDetail(", CHAR(34), B330, CHAR(34), ", ", CHAR(34), C330, CHAR(34),")));")</f>
        <v>map.add(new MatchingMnemonic("Ryhiys", new MatchingMnemonicDetail("Raise your hand if you’re sure", "Sure")));</v>
      </c>
    </row>
    <row r="331" spans="1:5" x14ac:dyDescent="0.25">
      <c r="A331" t="s">
        <v>774</v>
      </c>
      <c r="B331" s="2" t="str">
        <f>SUBSTITUTE(SUBSTITUTE(SUBSTITUTE(SUBSTITUTE(SUBSTITUTE(SUBSTITUTE(TRIM(A331),"""",""), "“", ""),  "”", ""), ".", ""), "–", ""), "‘", "")</f>
        <v>SchhhYou-Know-Who</v>
      </c>
      <c r="C331" t="s">
        <v>459</v>
      </c>
      <c r="D331" s="3" t="str">
        <f>GetFirstLettersOfAcronym(B331)</f>
        <v>S</v>
      </c>
      <c r="E331" s="3" t="str">
        <f xml:space="preserve"> CONCATENATE("map.add(new MatchingMnemonic(", CHAR(34), D331,  CHAR(34), ", ", "new MatchingMnemonicDetail(", CHAR(34), B331, CHAR(34), ", ", CHAR(34), C331, CHAR(34),")));")</f>
        <v>map.add(new MatchingMnemonic("S", new MatchingMnemonicDetail("SchhhYou-Know-Who", "Schweppes")));</v>
      </c>
    </row>
    <row r="332" spans="1:5" x14ac:dyDescent="0.25">
      <c r="A332" s="2" t="s">
        <v>400</v>
      </c>
      <c r="B332" s="2" t="str">
        <f>SUBSTITUTE(SUBSTITUTE(SUBSTITUTE(SUBSTITUTE(SUBSTITUTE(SUBSTITUTE(A332,"""",""), "“", ""),  "”", ""), ".", ""), "–", ""), "‘", "")</f>
        <v>Slightly ahead of its time</v>
      </c>
      <c r="C332" s="2" t="s">
        <v>401</v>
      </c>
      <c r="D332" s="3" t="str">
        <f>GetFirstLettersOfAcronym(B332)</f>
        <v>Saoit</v>
      </c>
      <c r="E332" s="3" t="str">
        <f xml:space="preserve"> CONCATENATE("map.add(new MatchingMnemonic(", CHAR(34), D332,  CHAR(34), ", ", "new MatchingMnemonicDetail(", CHAR(34), B332, CHAR(34), ", ", CHAR(34), C332, CHAR(34),")));")</f>
        <v>map.add(new MatchingMnemonic("Saoit", new MatchingMnemonicDetail("Slightly ahead of its time", "Panasonic")));</v>
      </c>
    </row>
    <row r="333" spans="1:5" x14ac:dyDescent="0.25">
      <c r="A333" s="4" t="s">
        <v>276</v>
      </c>
      <c r="B333" s="2" t="str">
        <f>SUBSTITUTE(SUBSTITUTE(SUBSTITUTE(SUBSTITUTE(SUBSTITUTE(SUBSTITUTE(A333,"""",""), "“", ""),  "”", ""), ".", ""), "–", ""), "‘", "")</f>
        <v>Start aging smart</v>
      </c>
      <c r="C333" s="4" t="s">
        <v>277</v>
      </c>
      <c r="D333" s="3" t="str">
        <f>GetFirstLettersOfAcronym(B333)</f>
        <v>Sas</v>
      </c>
      <c r="E333" s="3" t="str">
        <f xml:space="preserve"> CONCATENATE("map.add(new MatchingMnemonic(", CHAR(34), D333,  CHAR(34), ", ", "new MatchingMnemonicDetail(", CHAR(34), B333, CHAR(34), ", ", CHAR(34), C333, CHAR(34),")));")</f>
        <v>map.add(new MatchingMnemonic("Sas", new MatchingMnemonicDetail("Start aging smart", "Kellogg’s Smart Start")));</v>
      </c>
    </row>
    <row r="334" spans="1:5" x14ac:dyDescent="0.25">
      <c r="A334" t="s">
        <v>813</v>
      </c>
      <c r="B334" s="2" t="str">
        <f>SUBSTITUTE(SUBSTITUTE(SUBSTITUTE(SUBSTITUTE(SUBSTITUTE(SUBSTITUTE(TRIM(A334),"""",""), "“", ""),  "”", ""), ".", ""), "–", ""), "‘", "")</f>
        <v>Snap! Crackle! pop!</v>
      </c>
      <c r="C334" t="s">
        <v>635</v>
      </c>
      <c r="D334" s="3" t="str">
        <f>GetFirstLettersOfAcronym(B334)</f>
        <v>SCp</v>
      </c>
      <c r="E334" s="3" t="str">
        <f xml:space="preserve"> CONCATENATE("map.add(new MatchingMnemonic(", CHAR(34), D334,  CHAR(34), ", ", "new MatchingMnemonicDetail(", CHAR(34), B334, CHAR(34), ", ", CHAR(34), C334, CHAR(34),")));")</f>
        <v>map.add(new MatchingMnemonic("SCp", new MatchingMnemonicDetail("Snap! Crackle! pop!", "Kellogg’s Rice Krispies")));</v>
      </c>
    </row>
    <row r="335" spans="1:5" ht="28.5" x14ac:dyDescent="0.25">
      <c r="A335" s="4" t="s">
        <v>488</v>
      </c>
      <c r="B335" s="2" t="str">
        <f>SUBSTITUTE(SUBSTITUTE(SUBSTITUTE(SUBSTITUTE(SUBSTITUTE(SUBSTITUTE(A335,"""",""), "“", ""),  "”", ""), ".", ""), "–", ""), "‘", "")</f>
        <v>Sorry, Charlie Starkist wants tuna that tastes good, not tuna with good taste</v>
      </c>
      <c r="C335" s="4" t="s">
        <v>489</v>
      </c>
      <c r="D335" s="3" t="str">
        <f>GetFirstLettersOfAcronym(B335)</f>
        <v>SCSwtttgntwgt</v>
      </c>
      <c r="E335" s="3" t="str">
        <f xml:space="preserve"> CONCATENATE("map.add(new MatchingMnemonic(", CHAR(34), D335,  CHAR(34), ", ", "new MatchingMnemonicDetail(", CHAR(34), B335, CHAR(34), ", ", CHAR(34), C335, CHAR(34),")));")</f>
        <v>map.add(new MatchingMnemonic("SCSwtttgntwgt", new MatchingMnemonicDetail("Sorry, Charlie Starkist wants tuna that tastes good, not tuna with good taste", "Starkist Tuna")));</v>
      </c>
    </row>
    <row r="336" spans="1:5" x14ac:dyDescent="0.25">
      <c r="A336" s="3" t="s">
        <v>738</v>
      </c>
      <c r="B336" s="2" t="str">
        <f>SUBSTITUTE(SUBSTITUTE(SUBSTITUTE(SUBSTITUTE(SUBSTITUTE(SUBSTITUTE(A336,"""",""), "“", ""),  "”", ""), ".", ""), "–", ""), "‘", "")</f>
        <v xml:space="preserve"> Seafood Differently</v>
      </c>
      <c r="C336" s="3" t="s">
        <v>737</v>
      </c>
      <c r="D336" s="3" t="str">
        <f>GetFirstLettersOfAcronym(B336)</f>
        <v>SD</v>
      </c>
      <c r="E336" s="3" t="str">
        <f xml:space="preserve"> CONCATENATE("map.add(new MatchingMnemonic(", CHAR(34), D336,  CHAR(34), ", ", "new MatchingMnemonicDetail(", CHAR(34), B336, CHAR(34), ", ", CHAR(34), C336, CHAR(34),")));")</f>
        <v>map.add(new MatchingMnemonic("SD", new MatchingMnemonicDetail(" Seafood Differently", "Red Lobster ")));</v>
      </c>
    </row>
    <row r="337" spans="1:5" x14ac:dyDescent="0.25">
      <c r="A337" s="2" t="s">
        <v>56</v>
      </c>
      <c r="B337" s="2" t="str">
        <f>SUBSTITUTE(SUBSTITUTE(SUBSTITUTE(SUBSTITUTE(SUBSTITUTE(SUBSTITUTE(A337,"""",""), "“", ""),  "”", ""), ".", ""), "–", ""), "‘", "")</f>
        <v>Sheer driving pleasure</v>
      </c>
      <c r="C337" s="2" t="s">
        <v>57</v>
      </c>
      <c r="D337" s="3" t="str">
        <f>GetFirstLettersOfAcronym(B337)</f>
        <v>Sdp</v>
      </c>
      <c r="E337" s="3" t="str">
        <f xml:space="preserve"> CONCATENATE("map.add(new MatchingMnemonic(", CHAR(34), D337,  CHAR(34), ", ", "new MatchingMnemonicDetail(", CHAR(34), B337, CHAR(34), ", ", CHAR(34), C337, CHAR(34),")));")</f>
        <v>map.add(new MatchingMnemonic("Sdp", new MatchingMnemonicDetail("Sheer driving pleasure", "BMW")));</v>
      </c>
    </row>
    <row r="338" spans="1:5" ht="28.5" x14ac:dyDescent="0.25">
      <c r="A338" s="2" t="s">
        <v>462</v>
      </c>
      <c r="B338" s="2" t="str">
        <f>SUBSTITUTE(SUBSTITUTE(SUBSTITUTE(SUBSTITUTE(SUBSTITUTE(SUBSTITUTE(A338,"""",""), "“", ""),  "”", ""), ".", ""), "–", ""), "‘", "")</f>
        <v>Strong enough for a man, but made for a woman</v>
      </c>
      <c r="C338" s="2" t="s">
        <v>463</v>
      </c>
      <c r="D338" s="3" t="str">
        <f>GetFirstLettersOfAcronym(B338)</f>
        <v>Sefambmfaw</v>
      </c>
      <c r="E338" s="3" t="str">
        <f xml:space="preserve"> CONCATENATE("map.add(new MatchingMnemonic(", CHAR(34), D338,  CHAR(34), ", ", "new MatchingMnemonicDetail(", CHAR(34), B338, CHAR(34), ", ", CHAR(34), C338, CHAR(34),")));")</f>
        <v>map.add(new MatchingMnemonic("Sefambmfaw", new MatchingMnemonicDetail("Strong enough for a man, but made for a woman", "Secret Deodorant")));</v>
      </c>
    </row>
    <row r="339" spans="1:5" x14ac:dyDescent="0.25">
      <c r="A339" s="4" t="s">
        <v>252</v>
      </c>
      <c r="B339" s="2" t="str">
        <f>SUBSTITUTE(SUBSTITUTE(SUBSTITUTE(SUBSTITUTE(SUBSTITUTE(SUBSTITUTE(A339,"""",""), "“", ""),  "”", ""), ".", ""), "–", ""), "‘", "")</f>
        <v>Solutions for a small planet</v>
      </c>
      <c r="C339" s="4" t="s">
        <v>253</v>
      </c>
      <c r="D339" s="3" t="str">
        <f>GetFirstLettersOfAcronym(B339)</f>
        <v>Sfasp</v>
      </c>
      <c r="E339" s="3" t="str">
        <f xml:space="preserve"> CONCATENATE("map.add(new MatchingMnemonic(", CHAR(34), D339,  CHAR(34), ", ", "new MatchingMnemonicDetail(", CHAR(34), B339, CHAR(34), ", ", CHAR(34), C339, CHAR(34),")));")</f>
        <v>map.add(new MatchingMnemonic("Sfasp", new MatchingMnemonicDetail("Solutions for a small planet", "IBM")));</v>
      </c>
    </row>
    <row r="340" spans="1:5" ht="28.5" x14ac:dyDescent="0.25">
      <c r="A340" s="2" t="s">
        <v>677</v>
      </c>
      <c r="B340" s="2" t="str">
        <f>SUBSTITUTE(SUBSTITUTE(SUBSTITUTE(SUBSTITUTE(SUBSTITUTE(SUBSTITUTE(A340,"""",""), "“", ""),  "”", ""), ".", ""), "–", ""), "‘", "")</f>
        <v>Singapore girl, you’re a great way to fly</v>
      </c>
      <c r="C340" s="2" t="s">
        <v>678</v>
      </c>
      <c r="D340" s="3" t="str">
        <f>GetFirstLettersOfAcronym(B340)</f>
        <v>Sgyagwtf</v>
      </c>
      <c r="E340" s="3" t="str">
        <f xml:space="preserve"> CONCATENATE("map.add(new MatchingMnemonic(", CHAR(34), D340,  CHAR(34), ", ", "new MatchingMnemonicDetail(", CHAR(34), B340, CHAR(34), ", ", CHAR(34), C340, CHAR(34),")));")</f>
        <v>map.add(new MatchingMnemonic("Sgyagwtf", new MatchingMnemonicDetail("Singapore girl, you’re a great way to fly", "Singapore Airlines")));</v>
      </c>
    </row>
    <row r="341" spans="1:5" x14ac:dyDescent="0.25">
      <c r="A341" s="3" t="s">
        <v>715</v>
      </c>
      <c r="B341" s="2" t="str">
        <f>SUBSTITUTE(SUBSTITUTE(SUBSTITUTE(SUBSTITUTE(SUBSTITUTE(SUBSTITUTE(A341,"""",""), "“", ""),  "”", ""), ".", ""), "–", ""), "‘", "")</f>
        <v xml:space="preserve"> Success It’s a Mind Game</v>
      </c>
      <c r="C341" s="3" t="s">
        <v>714</v>
      </c>
      <c r="D341" s="3" t="str">
        <f>GetFirstLettersOfAcronym(B341)</f>
        <v>SIaMG</v>
      </c>
      <c r="E341" s="3" t="str">
        <f xml:space="preserve"> CONCATENATE("map.add(new MatchingMnemonic(", CHAR(34), D341,  CHAR(34), ", ", "new MatchingMnemonicDetail(", CHAR(34), B341, CHAR(34), ", ", CHAR(34), C341, CHAR(34),")));")</f>
        <v>map.add(new MatchingMnemonic("SIaMG", new MatchingMnemonicDetail(" Success It’s a Mind Game", "Tag Heuer ")));</v>
      </c>
    </row>
    <row r="342" spans="1:5" x14ac:dyDescent="0.25">
      <c r="A342" s="4" t="s">
        <v>199</v>
      </c>
      <c r="B342" s="2" t="str">
        <f>SUBSTITUTE(SUBSTITUTE(SUBSTITUTE(SUBSTITUTE(SUBSTITUTE(SUBSTITUTE(A342,"""",""), "“", ""),  "”", ""), ".", ""), "–", ""), "‘", "")</f>
        <v>Say it with flowers</v>
      </c>
      <c r="C342" s="4" t="s">
        <v>200</v>
      </c>
      <c r="D342" s="3" t="str">
        <f>GetFirstLettersOfAcronym(B342)</f>
        <v>Siwf</v>
      </c>
      <c r="E342" s="3" t="str">
        <f xml:space="preserve"> CONCATENATE("map.add(new MatchingMnemonic(", CHAR(34), D342,  CHAR(34), ", ", "new MatchingMnemonicDetail(", CHAR(34), B342, CHAR(34), ", ", CHAR(34), C342, CHAR(34),")));")</f>
        <v>map.add(new MatchingMnemonic("Siwf", new MatchingMnemonicDetail("Say it with flowers", "FTD")));</v>
      </c>
    </row>
    <row r="343" spans="1:5" x14ac:dyDescent="0.25">
      <c r="A343" t="s">
        <v>847</v>
      </c>
      <c r="B343" s="2" t="str">
        <f>SUBSTITUTE(SUBSTITUTE(SUBSTITUTE(SUBSTITUTE(SUBSTITUTE(SUBSTITUTE(TRIM(A343),"""",""), "“", ""),  "”", ""), ".", ""), "–", ""), "‘", "")</f>
        <v>Save Money Live Better</v>
      </c>
      <c r="C343" t="s">
        <v>941</v>
      </c>
      <c r="D343" s="3" t="str">
        <f>GetFirstLettersOfAcronym(B343)</f>
        <v>SMLB</v>
      </c>
      <c r="E343" s="3" t="str">
        <f xml:space="preserve"> CONCATENATE("map.add(new MatchingMnemonic(", CHAR(34), D343,  CHAR(34), ", ", "new MatchingMnemonicDetail(", CHAR(34), B343, CHAR(34), ", ", CHAR(34), C343, CHAR(34),")));")</f>
        <v>map.add(new MatchingMnemonic("SMLB", new MatchingMnemonicDetail("Save Money Live Better", "Walmart")));</v>
      </c>
    </row>
    <row r="344" spans="1:5" x14ac:dyDescent="0.25">
      <c r="A344" s="3" t="s">
        <v>725</v>
      </c>
      <c r="B344" s="2" t="str">
        <f>SUBSTITUTE(SUBSTITUTE(SUBSTITUTE(SUBSTITUTE(SUBSTITUTE(SUBSTITUTE(A344,"""",""), "“", ""),  "”", ""), ".", ""), "–", ""), "‘", "")</f>
        <v xml:space="preserve"> Share moments Share life</v>
      </c>
      <c r="C344" s="3" t="s">
        <v>724</v>
      </c>
      <c r="D344" s="3" t="str">
        <f>GetFirstLettersOfAcronym(B344)</f>
        <v>SmSl</v>
      </c>
      <c r="E344" s="3" t="str">
        <f xml:space="preserve"> CONCATENATE("map.add(new MatchingMnemonic(", CHAR(34), D344,  CHAR(34), ", ", "new MatchingMnemonicDetail(", CHAR(34), B344, CHAR(34), ", ", CHAR(34), C344, CHAR(34),")));")</f>
        <v>map.add(new MatchingMnemonic("SmSl", new MatchingMnemonicDetail(" Share moments Share life", "Kodak ")));</v>
      </c>
    </row>
    <row r="345" spans="1:5" ht="28.5" x14ac:dyDescent="0.25">
      <c r="A345" s="4" t="s">
        <v>534</v>
      </c>
      <c r="B345" s="2" t="str">
        <f>SUBSTITUTE(SUBSTITUTE(SUBSTITUTE(SUBSTITUTE(SUBSTITUTE(SUBSTITUTE(A345,"""",""), "“", ""),  "”", ""), ".", ""), "–", ""), "‘", "")</f>
        <v>Some of our best men are women</v>
      </c>
      <c r="C345" s="4" t="s">
        <v>535</v>
      </c>
      <c r="D345" s="3" t="str">
        <f>GetFirstLettersOfAcronym(B345)</f>
        <v>Soobmaw</v>
      </c>
      <c r="E345" s="3" t="str">
        <f xml:space="preserve"> CONCATENATE("map.add(new MatchingMnemonic(", CHAR(34), D345,  CHAR(34), ", ", "new MatchingMnemonicDetail(", CHAR(34), B345, CHAR(34), ", ", CHAR(34), C345, CHAR(34),")));")</f>
        <v>map.add(new MatchingMnemonic("Soobmaw", new MatchingMnemonicDetail("Some of our best men are women", "U.S. Army")));</v>
      </c>
    </row>
    <row r="346" spans="1:5" x14ac:dyDescent="0.25">
      <c r="A346" s="4" t="s">
        <v>433</v>
      </c>
      <c r="B346" s="2" t="str">
        <f>SUBSTITUTE(SUBSTITUTE(SUBSTITUTE(SUBSTITUTE(SUBSTITUTE(SUBSTITUTE(A346,"""",""), "“", ""),  "”", ""), ".", ""), "–", ""), "‘", "")</f>
        <v>Spirit of service</v>
      </c>
      <c r="C346" s="4" t="s">
        <v>434</v>
      </c>
      <c r="D346" s="3" t="str">
        <f>GetFirstLettersOfAcronym(B346)</f>
        <v>Sos</v>
      </c>
      <c r="E346" s="3" t="str">
        <f xml:space="preserve"> CONCATENATE("map.add(new MatchingMnemonic(", CHAR(34), D346,  CHAR(34), ", ", "new MatchingMnemonicDetail(", CHAR(34), B346, CHAR(34), ", ", CHAR(34), C346, CHAR(34),")));")</f>
        <v>map.add(new MatchingMnemonic("Sos", new MatchingMnemonicDetail("Spirit of service", "Qwest")));</v>
      </c>
    </row>
    <row r="347" spans="1:5" x14ac:dyDescent="0.25">
      <c r="A347" s="2" t="s">
        <v>388</v>
      </c>
      <c r="B347" s="2" t="str">
        <f>SUBSTITUTE(SUBSTITUTE(SUBSTITUTE(SUBSTITUTE(SUBSTITUTE(SUBSTITUTE(A347,"""",""), "“", ""),  "”", ""), ".", ""), "–", ""), "‘", "")</f>
        <v>Software powers the Internet</v>
      </c>
      <c r="C347" s="2" t="s">
        <v>389</v>
      </c>
      <c r="D347" s="3" t="str">
        <f>GetFirstLettersOfAcronym(B347)</f>
        <v>SptI</v>
      </c>
      <c r="E347" s="3" t="str">
        <f xml:space="preserve"> CONCATENATE("map.add(new MatchingMnemonic(", CHAR(34), D347,  CHAR(34), ", ", "new MatchingMnemonicDetail(", CHAR(34), B347, CHAR(34), ", ", CHAR(34), C347, CHAR(34),")));")</f>
        <v>map.add(new MatchingMnemonic("SptI", new MatchingMnemonicDetail("Software powers the Internet", "Oracle")));</v>
      </c>
    </row>
    <row r="348" spans="1:5" x14ac:dyDescent="0.25">
      <c r="A348" s="4" t="s">
        <v>518</v>
      </c>
      <c r="B348" s="2" t="str">
        <f>SUBSTITUTE(SUBSTITUTE(SUBSTITUTE(SUBSTITUTE(SUBSTITUTE(SUBSTITUTE(A348,"""",""), "“", ""),  "”", ""), ".", ""), "–", ""), "‘", "")</f>
        <v>Silly rabbit, trix are for kids</v>
      </c>
      <c r="C348" s="4" t="s">
        <v>519</v>
      </c>
      <c r="D348" s="3" t="str">
        <f>GetFirstLettersOfAcronym(B348)</f>
        <v>Srtafk</v>
      </c>
      <c r="E348" s="3" t="str">
        <f xml:space="preserve"> CONCATENATE("map.add(new MatchingMnemonic(", CHAR(34), D348,  CHAR(34), ", ", "new MatchingMnemonicDetail(", CHAR(34), B348, CHAR(34), ", ", CHAR(34), C348, CHAR(34),")));")</f>
        <v>map.add(new MatchingMnemonic("Srtafk", new MatchingMnemonicDetail("Silly rabbit, trix are for kids", "Trix Cereal")));</v>
      </c>
    </row>
    <row r="349" spans="1:5" x14ac:dyDescent="0.25">
      <c r="A349" s="2" t="s">
        <v>22</v>
      </c>
      <c r="B349" s="2" t="str">
        <f>SUBSTITUTE(SUBSTITUTE(SUBSTITUTE(SUBSTITUTE(SUBSTITUTE(SUBSTITUTE(A349,"""",""), "“", ""),  "”", ""), ".", ""), "–", ""), "‘", "")</f>
        <v>Something special in the air</v>
      </c>
      <c r="C349" s="2" t="s">
        <v>23</v>
      </c>
      <c r="D349" s="3" t="str">
        <f>GetFirstLettersOfAcronym(B349)</f>
        <v>Ssita</v>
      </c>
      <c r="E349" s="3" t="str">
        <f xml:space="preserve"> CONCATENATE("map.add(new MatchingMnemonic(", CHAR(34), D349,  CHAR(34), ", ", "new MatchingMnemonicDetail(", CHAR(34), B349, CHAR(34), ", ", CHAR(34), C349, CHAR(34),")));")</f>
        <v>map.add(new MatchingMnemonic("Ssita", new MatchingMnemonicDetail("Something special in the air", "American Airlines")));</v>
      </c>
    </row>
    <row r="350" spans="1:5" x14ac:dyDescent="0.25">
      <c r="A350" s="2" t="s">
        <v>8</v>
      </c>
      <c r="B350" s="2" t="str">
        <f>SUBSTITUTE(SUBSTITUTE(SUBSTITUTE(SUBSTITUTE(SUBSTITUTE(SUBSTITUTE(A350,"""",""), "“", ""),  "”", ""), ".", ""), "–", ""), "‘", "")</f>
        <v>Stronger than dirt</v>
      </c>
      <c r="C350" s="2" t="s">
        <v>9</v>
      </c>
      <c r="D350" s="3" t="str">
        <f>GetFirstLettersOfAcronym(B350)</f>
        <v>Std</v>
      </c>
      <c r="E350" s="3" t="str">
        <f xml:space="preserve"> CONCATENATE("map.add(new MatchingMnemonic(", CHAR(34), D350,  CHAR(34), ", ", "new MatchingMnemonicDetail(", CHAR(34), B350, CHAR(34), ", ", CHAR(34), C350, CHAR(34),")));")</f>
        <v>map.add(new MatchingMnemonic("Std", new MatchingMnemonicDetail("Stronger than dirt", "Ajax")));</v>
      </c>
    </row>
    <row r="351" spans="1:5" x14ac:dyDescent="0.25">
      <c r="A351" s="4" t="s">
        <v>429</v>
      </c>
      <c r="B351" s="2" t="str">
        <f>SUBSTITUTE(SUBSTITUTE(SUBSTITUTE(SUBSTITUTE(SUBSTITUTE(SUBSTITUTE(A351,"""",""), "“", ""),  "”", ""), ".", ""), "–", ""), "‘", "")</f>
        <v>Something to smile about</v>
      </c>
      <c r="C351" s="4" t="s">
        <v>430</v>
      </c>
      <c r="D351" s="3" t="str">
        <f>GetFirstLettersOfAcronym(B351)</f>
        <v>Stsa</v>
      </c>
      <c r="E351" s="3" t="str">
        <f xml:space="preserve"> CONCATENATE("map.add(new MatchingMnemonic(", CHAR(34), D351,  CHAR(34), ", ", "new MatchingMnemonicDetail(", CHAR(34), B351, CHAR(34), ", ", CHAR(34), C351, CHAR(34),")));")</f>
        <v>map.add(new MatchingMnemonic("Stsa", new MatchingMnemonicDetail("Something to smile about", "Quaker Oatmeal")));</v>
      </c>
    </row>
    <row r="352" spans="1:5" x14ac:dyDescent="0.25">
      <c r="A352" s="4" t="s">
        <v>609</v>
      </c>
      <c r="B352" s="2" t="str">
        <f>SUBSTITUTE(SUBSTITUTE(SUBSTITUTE(SUBSTITUTE(SUBSTITUTE(SUBSTITUTE(A352,"""",""), "“", ""),  "”", ""), ".", ""), "–", ""), "‘", "")</f>
        <v>See the USA in your Chevrolet</v>
      </c>
      <c r="C352" s="4" t="s">
        <v>610</v>
      </c>
      <c r="D352" s="3" t="str">
        <f>GetFirstLettersOfAcronym(B352)</f>
        <v>StUiyC</v>
      </c>
      <c r="E352" s="3" t="str">
        <f xml:space="preserve"> CONCATENATE("map.add(new MatchingMnemonic(", CHAR(34), D352,  CHAR(34), ", ", "new MatchingMnemonicDetail(", CHAR(34), B352, CHAR(34), ", ", CHAR(34), C352, CHAR(34),")));")</f>
        <v>map.add(new MatchingMnemonic("StUiyC", new MatchingMnemonicDetail("See the USA in your Chevrolet", "Chevrolet")));</v>
      </c>
    </row>
    <row r="353" spans="1:5" x14ac:dyDescent="0.25">
      <c r="A353" s="3" t="s">
        <v>723</v>
      </c>
      <c r="B353" s="2" t="str">
        <f>SUBSTITUTE(SUBSTITUTE(SUBSTITUTE(SUBSTITUTE(SUBSTITUTE(SUBSTITUTE(A353,"""",""), "“", ""),  "”", ""), ".", ""), "–", ""), "‘", "")</f>
        <v xml:space="preserve"> See what we mean</v>
      </c>
      <c r="C353" s="3" t="s">
        <v>722</v>
      </c>
      <c r="D353" s="3" t="str">
        <f>GetFirstLettersOfAcronym(B353)</f>
        <v>Swwm</v>
      </c>
      <c r="E353" s="3" t="str">
        <f xml:space="preserve"> CONCATENATE("map.add(new MatchingMnemonic(", CHAR(34), D353,  CHAR(34), ", ", "new MatchingMnemonicDetail(", CHAR(34), B353, CHAR(34), ", ", CHAR(34), C353, CHAR(34),")));")</f>
        <v>map.add(new MatchingMnemonic("Swwm", new MatchingMnemonicDetail(" See what we mean", "Canon ")));</v>
      </c>
    </row>
    <row r="354" spans="1:5" x14ac:dyDescent="0.25">
      <c r="A354" s="4" t="s">
        <v>210</v>
      </c>
      <c r="B354" s="2" t="str">
        <f>SUBSTITUTE(SUBSTITUTE(SUBSTITUTE(SUBSTITUTE(SUBSTITUTE(SUBSTITUTE(A354,"""",""), "“", ""),  "”", ""), ".", ""), "–", ""), "‘", "")</f>
        <v>Shouldn’t your baby be a Gerber baby?</v>
      </c>
      <c r="C354" s="4" t="s">
        <v>209</v>
      </c>
      <c r="D354" s="3" t="str">
        <f>GetFirstLettersOfAcronym(B354)</f>
        <v>SybbaGb</v>
      </c>
      <c r="E354" s="3" t="str">
        <f xml:space="preserve"> CONCATENATE("map.add(new MatchingMnemonic(", CHAR(34), D354,  CHAR(34), ", ", "new MatchingMnemonicDetail(", CHAR(34), B354, CHAR(34), ", ", CHAR(34), C354, CHAR(34),")));")</f>
        <v>map.add(new MatchingMnemonic("SybbaGb", new MatchingMnemonicDetail("Shouldn’t your baby be a Gerber baby?", "Gerber")));</v>
      </c>
    </row>
    <row r="355" spans="1:5" x14ac:dyDescent="0.25">
      <c r="A355" t="s">
        <v>770</v>
      </c>
      <c r="B355" s="2" t="str">
        <f>SUBSTITUTE(SUBSTITUTE(SUBSTITUTE(SUBSTITUTE(SUBSTITUTE(SUBSTITUTE(TRIM(A355),"""",""), "“", ""),  "”", ""), ".", ""), "–", ""), "‘", "")</f>
        <v>Sometimes you feel like a nut, sometimes you don't</v>
      </c>
      <c r="C355" t="s">
        <v>771</v>
      </c>
      <c r="D355" s="3" t="str">
        <f>GetFirstLettersOfAcronym(B355)</f>
        <v>Syflansyd</v>
      </c>
      <c r="E355" s="3" t="str">
        <f xml:space="preserve"> CONCATENATE("map.add(new MatchingMnemonic(", CHAR(34), D355,  CHAR(34), ", ", "new MatchingMnemonicDetail(", CHAR(34), B355, CHAR(34), ", ", CHAR(34), C355, CHAR(34),")));")</f>
        <v>map.add(new MatchingMnemonic("Syflansyd", new MatchingMnemonicDetail("Sometimes you feel like a nut, sometimes you don't", "Peter Paul Mounds/ Almond Joy")));</v>
      </c>
    </row>
    <row r="356" spans="1:5" x14ac:dyDescent="0.25">
      <c r="A356" s="2" t="s">
        <v>458</v>
      </c>
      <c r="B356" s="2" t="str">
        <f>SUBSTITUTE(SUBSTITUTE(SUBSTITUTE(SUBSTITUTE(SUBSTITUTE(SUBSTITUTE(A356,"""",""), "“", ""),  "”", ""), ".", ""), "–", ""), "‘", "")</f>
        <v>Schhh! You know who?</v>
      </c>
      <c r="C356" s="2" t="s">
        <v>459</v>
      </c>
      <c r="D356" s="3" t="str">
        <f>GetFirstLettersOfAcronym(B356)</f>
        <v>SYkw</v>
      </c>
      <c r="E356" s="3" t="str">
        <f xml:space="preserve"> CONCATENATE("map.add(new MatchingMnemonic(", CHAR(34), D356,  CHAR(34), ", ", "new MatchingMnemonicDetail(", CHAR(34), B356, CHAR(34), ", ", CHAR(34), C356, CHAR(34),")));")</f>
        <v>map.add(new MatchingMnemonic("SYkw", new MatchingMnemonicDetail("Schhh! You know who?", "Schweppes")));</v>
      </c>
    </row>
    <row r="357" spans="1:5" x14ac:dyDescent="0.25">
      <c r="A357" s="2" t="s">
        <v>171</v>
      </c>
      <c r="B357" s="2" t="str">
        <f>SUBSTITUTE(SUBSTITUTE(SUBSTITUTE(SUBSTITUTE(SUBSTITUTE(SUBSTITUTE(A357,"""",""), "“", ""),  "”", ""), ".", ""), "–", ""), "‘", "")</f>
        <v>See your way forward</v>
      </c>
      <c r="C357" s="2" t="s">
        <v>172</v>
      </c>
      <c r="D357" s="3" t="str">
        <f>GetFirstLettersOfAcronym(B357)</f>
        <v>Sywf</v>
      </c>
      <c r="E357" s="3" t="str">
        <f xml:space="preserve"> CONCATENATE("map.add(new MatchingMnemonic(", CHAR(34), D357,  CHAR(34), ", ", "new MatchingMnemonicDetail(", CHAR(34), B357, CHAR(34), ", ", CHAR(34), C357, CHAR(34),")));")</f>
        <v>map.add(new MatchingMnemonic("Sywf", new MatchingMnemonicDetail("See your way forward", "Epiphany")));</v>
      </c>
    </row>
    <row r="358" spans="1:5" x14ac:dyDescent="0.25">
      <c r="A358" s="2" t="s">
        <v>272</v>
      </c>
      <c r="B358" s="2" t="str">
        <f>SUBSTITUTE(SUBSTITUTE(SUBSTITUTE(SUBSTITUTE(SUBSTITUTE(SUBSTITUTE(A358,"""",""), "“", ""),  "”", ""), ".", ""), "–", ""), "‘", "")</f>
        <v>Thrive</v>
      </c>
      <c r="C358" s="2" t="s">
        <v>273</v>
      </c>
      <c r="D358" s="3" t="str">
        <f>GetFirstLettersOfAcronym(B358)</f>
        <v>T</v>
      </c>
      <c r="E358" s="3" t="str">
        <f xml:space="preserve"> CONCATENATE("map.add(new MatchingMnemonic(", CHAR(34), D358,  CHAR(34), ", ", "new MatchingMnemonicDetail(", CHAR(34), B358, CHAR(34), ", ", CHAR(34), C358, CHAR(34),")));")</f>
        <v>map.add(new MatchingMnemonic("T", new MatchingMnemonicDetail("Thrive", "Kaiser Permanente")));</v>
      </c>
    </row>
    <row r="359" spans="1:5" x14ac:dyDescent="0.25">
      <c r="A359" s="2" t="s">
        <v>354</v>
      </c>
      <c r="B359" s="2" t="str">
        <f>SUBSTITUTE(SUBSTITUTE(SUBSTITUTE(SUBSTITUTE(SUBSTITUTE(SUBSTITUTE(A359,"""",""), "“", ""),  "”", ""), ".", ""), "–", ""), "‘", "")</f>
        <v>Take a bite out of crime</v>
      </c>
      <c r="C359" s="2" t="s">
        <v>355</v>
      </c>
      <c r="D359" s="3" t="str">
        <f>GetFirstLettersOfAcronym(B359)</f>
        <v>Tabooc</v>
      </c>
      <c r="E359" s="3" t="str">
        <f xml:space="preserve"> CONCATENATE("map.add(new MatchingMnemonic(", CHAR(34), D359,  CHAR(34), ", ", "new MatchingMnemonicDetail(", CHAR(34), B359, CHAR(34), ", ", CHAR(34), C359, CHAR(34),")));")</f>
        <v>map.add(new MatchingMnemonic("Tabooc", new MatchingMnemonicDetail("Take a bite out of crime", "National Crime Prevention Council")));</v>
      </c>
    </row>
    <row r="360" spans="1:5" x14ac:dyDescent="0.25">
      <c r="A360" t="s">
        <v>118</v>
      </c>
      <c r="B360" s="2" t="str">
        <f>SUBSTITUTE(SUBSTITUTE(SUBSTITUTE(SUBSTITUTE(SUBSTITUTE(SUBSTITUTE(TRIM(A360),"""",""), "“", ""),  "”", ""), ".", ""), "–", ""), "‘", "")</f>
        <v>The antidote for civilization</v>
      </c>
      <c r="C360" t="s">
        <v>782</v>
      </c>
      <c r="D360" s="3" t="str">
        <f>GetFirstLettersOfAcronym(B360)</f>
        <v>Tafc</v>
      </c>
      <c r="E360" s="3" t="str">
        <f xml:space="preserve"> CONCATENATE("map.add(new MatchingMnemonic(", CHAR(34), D360,  CHAR(34), ", ", "new MatchingMnemonicDetail(", CHAR(34), B360, CHAR(34), ", ", CHAR(34), C360, CHAR(34),")));")</f>
        <v>map.add(new MatchingMnemonic("Tafc", new MatchingMnemonicDetail("The antidote for civilization", "Club Med")));</v>
      </c>
    </row>
    <row r="361" spans="1:5" x14ac:dyDescent="0.25">
      <c r="A361" s="4" t="s">
        <v>510</v>
      </c>
      <c r="B361" s="2" t="str">
        <f>SUBSTITUTE(SUBSTITUTE(SUBSTITUTE(SUBSTITUTE(SUBSTITUTE(SUBSTITUTE(A361,"""",""), "“", ""),  "”", ""), ".", ""), "–", ""), "‘", "")</f>
        <v>Takes a licking and keeps on ticking</v>
      </c>
      <c r="C361" s="4" t="s">
        <v>511</v>
      </c>
      <c r="D361" s="3" t="str">
        <f>GetFirstLettersOfAcronym(B361)</f>
        <v>Talakot</v>
      </c>
      <c r="E361" s="3" t="str">
        <f xml:space="preserve"> CONCATENATE("map.add(new MatchingMnemonic(", CHAR(34), D361,  CHAR(34), ", ", "new MatchingMnemonicDetail(", CHAR(34), B361, CHAR(34), ", ", CHAR(34), C361, CHAR(34),")));")</f>
        <v>map.add(new MatchingMnemonic("Talakot", new MatchingMnemonicDetail("Takes a licking and keeps on ticking", "Timex")));</v>
      </c>
    </row>
    <row r="362" spans="1:5" x14ac:dyDescent="0.25">
      <c r="A362" s="4" t="s">
        <v>648</v>
      </c>
      <c r="B362" s="2" t="str">
        <f>SUBSTITUTE(SUBSTITUTE(SUBSTITUTE(SUBSTITUTE(SUBSTITUTE(SUBSTITUTE(A362,"""",""), "“", ""),  "”", ""), ".", ""), "–", ""), "‘", "")</f>
        <v>Two all-beef patties, special sauce, lettuce, cheese, pickles, onions on a sesame seed bun</v>
      </c>
      <c r="C362" s="4" t="s">
        <v>320</v>
      </c>
      <c r="D362" s="3" t="str">
        <f>GetFirstLettersOfAcronym(B362)</f>
        <v>Tapsslcpooassb</v>
      </c>
      <c r="E362" s="3" t="str">
        <f xml:space="preserve"> CONCATENATE("map.add(new MatchingMnemonic(", CHAR(34), D362,  CHAR(34), ", ", "new MatchingMnemonicDetail(", CHAR(34), B362, CHAR(34), ", ", CHAR(34), C362, CHAR(34),")));")</f>
        <v>map.add(new MatchingMnemonic("Tapsslcpooassb", new MatchingMnemonicDetail("Two all-beef patties, special sauce, lettuce, cheese, pickles, onions on a sesame seed bun", "McDonald’s")));</v>
      </c>
    </row>
    <row r="363" spans="1:5" x14ac:dyDescent="0.25">
      <c r="A363" s="4" t="s">
        <v>633</v>
      </c>
      <c r="B363" s="2" t="str">
        <f>SUBSTITUTE(SUBSTITUTE(SUBSTITUTE(SUBSTITUTE(SUBSTITUTE(SUBSTITUTE(A363,"""",""), "“", ""),  "”", ""), ".", ""), "–", ""), "‘", "")</f>
        <v>There’s always room for J-E-L-L-0</v>
      </c>
      <c r="C363" s="4" t="s">
        <v>266</v>
      </c>
      <c r="D363" s="3" t="str">
        <f>GetFirstLettersOfAcronym(B363)</f>
        <v>TarfJ</v>
      </c>
      <c r="E363" s="3" t="str">
        <f xml:space="preserve"> CONCATENATE("map.add(new MatchingMnemonic(", CHAR(34), D363,  CHAR(34), ", ", "new MatchingMnemonicDetail(", CHAR(34), B363, CHAR(34), ", ", CHAR(34), C363, CHAR(34),")));")</f>
        <v>map.add(new MatchingMnemonic("TarfJ", new MatchingMnemonicDetail("There’s always room for J-E-L-L-0", "Jell-O")));</v>
      </c>
    </row>
    <row r="364" spans="1:5" ht="42.75" x14ac:dyDescent="0.25">
      <c r="A364" s="2" t="s">
        <v>309</v>
      </c>
      <c r="B364" s="2" t="str">
        <f>SUBSTITUTE(SUBSTITUTE(SUBSTITUTE(SUBSTITUTE(SUBSTITUTE(SUBSTITUTE(A364,"""",""), "“", ""),  "”", ""), ".", ""), "–", ""), "‘", "")</f>
        <v>There are some things that money can’t buy For everything else there’s MasterCard</v>
      </c>
      <c r="C364" s="2" t="s">
        <v>310</v>
      </c>
      <c r="D364" s="3" t="str">
        <f>GetFirstLettersOfAcronym(B364)</f>
        <v>TasttmcbFeetM</v>
      </c>
      <c r="E364" s="3" t="str">
        <f xml:space="preserve"> CONCATENATE("map.add(new MatchingMnemonic(", CHAR(34), D364,  CHAR(34), ", ", "new MatchingMnemonicDetail(", CHAR(34), B364, CHAR(34), ", ", CHAR(34), C364, CHAR(34),")));")</f>
        <v>map.add(new MatchingMnemonic("TasttmcbFeetM", new MatchingMnemonicDetail("There are some things that money can’t buy For everything else there’s MasterCard", "MasterCard")));</v>
      </c>
    </row>
    <row r="365" spans="1:5" x14ac:dyDescent="0.25">
      <c r="A365" t="s">
        <v>852</v>
      </c>
      <c r="B365" s="2" t="str">
        <f>SUBSTITUTE(SUBSTITUTE(SUBSTITUTE(SUBSTITUTE(SUBSTITUTE(SUBSTITUTE(TRIM(A365),"""",""), "“", ""),  "”", ""), ".", ""), "–", ""), "‘", "")</f>
        <v>Think big</v>
      </c>
      <c r="C365" t="s">
        <v>909</v>
      </c>
      <c r="D365" s="3" t="str">
        <f>GetFirstLettersOfAcronym(B365)</f>
        <v>Tb</v>
      </c>
      <c r="E365" s="3" t="str">
        <f xml:space="preserve"> CONCATENATE("map.add(new MatchingMnemonic(", CHAR(34), D365,  CHAR(34), ", ", "new MatchingMnemonicDetail(", CHAR(34), B365, CHAR(34), ", ", CHAR(34), C365, CHAR(34),")));")</f>
        <v>map.add(new MatchingMnemonic("Tb", new MatchingMnemonicDetail("Think big", "Imax")));</v>
      </c>
    </row>
    <row r="366" spans="1:5" x14ac:dyDescent="0.25">
      <c r="A366" s="2" t="s">
        <v>215</v>
      </c>
      <c r="B366" s="2" t="str">
        <f>SUBSTITUTE(SUBSTITUTE(SUBSTITUTE(SUBSTITUTE(SUBSTITUTE(SUBSTITUTE(A366,"""",""), "“", ""),  "”", ""), ".", ""), "–", ""), "‘", "")</f>
        <v>The best a man can get</v>
      </c>
      <c r="C366" s="2" t="s">
        <v>214</v>
      </c>
      <c r="D366" s="3" t="str">
        <f>GetFirstLettersOfAcronym(B366)</f>
        <v>Tbamcg</v>
      </c>
      <c r="E366" s="3" t="str">
        <f xml:space="preserve"> CONCATENATE("map.add(new MatchingMnemonic(", CHAR(34), D366,  CHAR(34), ", ", "new MatchingMnemonicDetail(", CHAR(34), B366, CHAR(34), ", ", CHAR(34), C366, CHAR(34),")));")</f>
        <v>map.add(new MatchingMnemonic("Tbamcg", new MatchingMnemonicDetail("The best a man can get", "Gillette")));</v>
      </c>
    </row>
    <row r="367" spans="1:5" ht="28.5" x14ac:dyDescent="0.25">
      <c r="A367" s="4" t="s">
        <v>417</v>
      </c>
      <c r="B367" s="2" t="str">
        <f>SUBSTITUTE(SUBSTITUTE(SUBSTITUTE(SUBSTITUTE(SUBSTITUTE(SUBSTITUTE(A367,"""",""), "“", ""),  "”", ""), ".", ""), "–", ""), "‘", "")</f>
        <v>The best kept automotive secret in America</v>
      </c>
      <c r="C367" s="4" t="s">
        <v>418</v>
      </c>
      <c r="D367" s="3" t="str">
        <f>GetFirstLettersOfAcronym(B367)</f>
        <v>TbkasiA</v>
      </c>
      <c r="E367" s="3" t="str">
        <f xml:space="preserve"> CONCATENATE("map.add(new MatchingMnemonic(", CHAR(34), D367,  CHAR(34), ", ", "new MatchingMnemonicDetail(", CHAR(34), B367, CHAR(34), ", ", CHAR(34), C367, CHAR(34),")));")</f>
        <v>map.add(new MatchingMnemonic("TbkasiA", new MatchingMnemonicDetail("The best kept automotive secret in America", "Peugeot")));</v>
      </c>
    </row>
    <row r="368" spans="1:5" x14ac:dyDescent="0.25">
      <c r="A368" s="4" t="s">
        <v>576</v>
      </c>
      <c r="B368" s="2" t="str">
        <f>SUBSTITUTE(SUBSTITUTE(SUBSTITUTE(SUBSTITUTE(SUBSTITUTE(SUBSTITUTE(A368,"""",""), "“", ""),  "”", ""), ".", ""), "–", ""), "‘", "")</f>
        <v>The breakfast of champions</v>
      </c>
      <c r="C368" s="4" t="s">
        <v>577</v>
      </c>
      <c r="D368" s="3" t="str">
        <f>GetFirstLettersOfAcronym(B368)</f>
        <v>Tboc</v>
      </c>
      <c r="E368" s="3" t="str">
        <f xml:space="preserve"> CONCATENATE("map.add(new MatchingMnemonic(", CHAR(34), D368,  CHAR(34), ", ", "new MatchingMnemonicDetail(", CHAR(34), B368, CHAR(34), ", ", CHAR(34), C368, CHAR(34),")));")</f>
        <v>map.add(new MatchingMnemonic("Tboc", new MatchingMnemonicDetail("The breakfast of champions", "Wheaties")));</v>
      </c>
    </row>
    <row r="369" spans="1:5" x14ac:dyDescent="0.25">
      <c r="A369" s="4" t="s">
        <v>627</v>
      </c>
      <c r="B369" s="2" t="str">
        <f>SUBSTITUTE(SUBSTITUTE(SUBSTITUTE(SUBSTITUTE(SUBSTITUTE(SUBSTITUTE(A369,"""",""), "“", ""),  "”", ""), ".", ""), "–", ""), "‘", "")</f>
        <v>The best part of waking up is Folger’s in your cup</v>
      </c>
      <c r="C369" s="4" t="s">
        <v>628</v>
      </c>
      <c r="D369" s="3" t="str">
        <f>GetFirstLettersOfAcronym(B369)</f>
        <v>TbpowuiFiyc</v>
      </c>
      <c r="E369" s="3" t="str">
        <f xml:space="preserve"> CONCATENATE("map.add(new MatchingMnemonic(", CHAR(34), D369,  CHAR(34), ", ", "new MatchingMnemonicDetail(", CHAR(34), B369, CHAR(34), ", ", CHAR(34), C369, CHAR(34),")));")</f>
        <v>map.add(new MatchingMnemonic("TbpowuiFiyc", new MatchingMnemonicDetail("The best part of waking up is Folger’s in your cup", "Folger’s Coffee")));</v>
      </c>
    </row>
    <row r="370" spans="1:5" x14ac:dyDescent="0.25">
      <c r="A370" s="4" t="s">
        <v>220</v>
      </c>
      <c r="B370" s="2" t="str">
        <f>SUBSTITUTE(SUBSTITUTE(SUBSTITUTE(SUBSTITUTE(SUBSTITUTE(SUBSTITUTE(A370,"""",""), "“", ""),  "”", ""), ".", ""), "–", ""), "‘", "")</f>
        <v>The best tires in the world have Goodyear written all over them</v>
      </c>
      <c r="C370" s="4" t="s">
        <v>221</v>
      </c>
      <c r="D370" s="3" t="str">
        <f>GetFirstLettersOfAcronym(B370)</f>
        <v>TbtitwhGwaot</v>
      </c>
      <c r="E370" s="3" t="str">
        <f xml:space="preserve"> CONCATENATE("map.add(new MatchingMnemonic(", CHAR(34), D370,  CHAR(34), ", ", "new MatchingMnemonicDetail(", CHAR(34), B370, CHAR(34), ", ", CHAR(34), C370, CHAR(34),")));")</f>
        <v>map.add(new MatchingMnemonic("TbtitwhGwaot", new MatchingMnemonicDetail("The best tires in the world have Goodyear written all over them", "Goodyear")));</v>
      </c>
    </row>
    <row r="371" spans="1:5" x14ac:dyDescent="0.25">
      <c r="A371" s="2" t="s">
        <v>454</v>
      </c>
      <c r="B371" s="2" t="str">
        <f>SUBSTITUTE(SUBSTITUTE(SUBSTITUTE(SUBSTITUTE(SUBSTITUTE(SUBSTITUTE(A371,"""",""), "“", ""),  "”", ""), ".", ""), "–", ""), "‘", "")</f>
        <v>The beer that made Milwaukee famous</v>
      </c>
      <c r="C371" s="2" t="s">
        <v>455</v>
      </c>
      <c r="D371" s="3" t="str">
        <f>GetFirstLettersOfAcronym(B371)</f>
        <v>TbtmMf</v>
      </c>
      <c r="E371" s="3" t="str">
        <f xml:space="preserve"> CONCATENATE("map.add(new MatchingMnemonic(", CHAR(34), D371,  CHAR(34), ", ", "new MatchingMnemonicDetail(", CHAR(34), B371, CHAR(34), ", ", CHAR(34), C371, CHAR(34),")));")</f>
        <v>map.add(new MatchingMnemonic("TbtmMf", new MatchingMnemonicDetail("The beer that made Milwaukee famous", "Schlitz")));</v>
      </c>
    </row>
    <row r="372" spans="1:5" x14ac:dyDescent="0.25">
      <c r="A372" s="3" t="s">
        <v>713</v>
      </c>
      <c r="B372" s="2" t="str">
        <f>SUBSTITUTE(SUBSTITUTE(SUBSTITUTE(SUBSTITUTE(SUBSTITUTE(SUBSTITUTE(A372,"""",""), "“", ""),  "”", ""), ".", ""), "–", ""), "‘", "")</f>
        <v xml:space="preserve"> The customer is always and completely right!</v>
      </c>
      <c r="C372" s="3" t="s">
        <v>712</v>
      </c>
      <c r="D372" s="3" t="str">
        <f>GetFirstLettersOfAcronym(B372)</f>
        <v>Tciaacr</v>
      </c>
      <c r="E372" s="3" t="str">
        <f xml:space="preserve"> CONCATENATE("map.add(new MatchingMnemonic(", CHAR(34), D372,  CHAR(34), ", ", "new MatchingMnemonicDetail(", CHAR(34), B372, CHAR(34), ", ", CHAR(34), C372, CHAR(34),")));")</f>
        <v>map.add(new MatchingMnemonic("Tciaacr", new MatchingMnemonicDetail(" The customer is always and completely right!", "Marks &amp; Spencer ")));</v>
      </c>
    </row>
    <row r="373" spans="1:5" x14ac:dyDescent="0.25">
      <c r="A373" t="s">
        <v>841</v>
      </c>
      <c r="B373" s="2" t="str">
        <f>SUBSTITUTE(SUBSTITUTE(SUBSTITUTE(SUBSTITUTE(SUBSTITUTE(SUBSTITUTE(TRIM(A373),"""",""), "“", ""),  "”", ""), ".", ""), "–", ""), "‘", "")</f>
        <v>The car in front is a Toyota</v>
      </c>
      <c r="C373" t="s">
        <v>517</v>
      </c>
      <c r="D373" s="3" t="str">
        <f>GetFirstLettersOfAcronym(B373)</f>
        <v>TcifiaT</v>
      </c>
      <c r="E373" s="3" t="str">
        <f xml:space="preserve"> CONCATENATE("map.add(new MatchingMnemonic(", CHAR(34), D373,  CHAR(34), ", ", "new MatchingMnemonicDetail(", CHAR(34), B373, CHAR(34), ", ", CHAR(34), C373, CHAR(34),")));")</f>
        <v>map.add(new MatchingMnemonic("TcifiaT", new MatchingMnemonicDetail("The car in front is a Toyota", "Toyota")));</v>
      </c>
    </row>
    <row r="374" spans="1:5" x14ac:dyDescent="0.25">
      <c r="A374" t="s">
        <v>867</v>
      </c>
      <c r="B374" s="2" t="str">
        <f>SUBSTITUTE(SUBSTITUTE(SUBSTITUTE(SUBSTITUTE(SUBSTITUTE(SUBSTITUTE(TRIM(A374),"""",""), "“", ""),  "”", ""), ".", ""), "–", ""), "‘", "")</f>
        <v>The Citi never sleeps</v>
      </c>
      <c r="C374" t="s">
        <v>781</v>
      </c>
      <c r="D374" s="3" t="str">
        <f>GetFirstLettersOfAcronym(B374)</f>
        <v>TCns</v>
      </c>
      <c r="E374" s="3" t="str">
        <f xml:space="preserve"> CONCATENATE("map.add(new MatchingMnemonic(", CHAR(34), D374,  CHAR(34), ", ", "new MatchingMnemonicDetail(", CHAR(34), B374, CHAR(34), ", ", CHAR(34), C374, CHAR(34),")));")</f>
        <v>map.add(new MatchingMnemonic("TCns", new MatchingMnemonicDetail("The Citi never sleeps", "Citibank")));</v>
      </c>
    </row>
    <row r="375" spans="1:5" x14ac:dyDescent="0.25">
      <c r="A375" s="2" t="s">
        <v>380</v>
      </c>
      <c r="B375" s="2" t="str">
        <f>SUBSTITUTE(SUBSTITUTE(SUBSTITUTE(SUBSTITUTE(SUBSTITUTE(SUBSTITUTE(A375,"""",""), "“", ""),  "”", ""), ".", ""), "–", ""), "‘", "")</f>
        <v>Taking care of business</v>
      </c>
      <c r="C375" s="2" t="s">
        <v>381</v>
      </c>
      <c r="D375" s="3" t="str">
        <f>GetFirstLettersOfAcronym(B375)</f>
        <v>Tcob</v>
      </c>
      <c r="E375" s="3" t="str">
        <f xml:space="preserve"> CONCATENATE("map.add(new MatchingMnemonic(", CHAR(34), D375,  CHAR(34), ", ", "new MatchingMnemonicDetail(", CHAR(34), B375, CHAR(34), ", ", CHAR(34), C375, CHAR(34),")));")</f>
        <v>map.add(new MatchingMnemonic("Tcob", new MatchingMnemonicDetail("Taking care of business", "Office Depot")));</v>
      </c>
    </row>
    <row r="376" spans="1:5" x14ac:dyDescent="0.25">
      <c r="A376" s="4" t="s">
        <v>337</v>
      </c>
      <c r="B376" s="2" t="str">
        <f>SUBSTITUTE(SUBSTITUTE(SUBSTITUTE(SUBSTITUTE(SUBSTITUTE(SUBSTITUTE(A376,"""",""), "“", ""),  "”", ""), ".", ""), "–", ""), "‘", "")</f>
        <v>The champagne of bottled beer</v>
      </c>
      <c r="C376" s="4" t="s">
        <v>338</v>
      </c>
      <c r="D376" s="3" t="str">
        <f>GetFirstLettersOfAcronym(B376)</f>
        <v>Tcobb</v>
      </c>
      <c r="E376" s="3" t="str">
        <f xml:space="preserve"> CONCATENATE("map.add(new MatchingMnemonic(", CHAR(34), D376,  CHAR(34), ", ", "new MatchingMnemonicDetail(", CHAR(34), B376, CHAR(34), ", ", CHAR(34), C376, CHAR(34),")));")</f>
        <v>map.add(new MatchingMnemonic("Tcobb", new MatchingMnemonicDetail("The champagne of bottled beer", "Miller High Life")));</v>
      </c>
    </row>
    <row r="377" spans="1:5" x14ac:dyDescent="0.25">
      <c r="A377" s="4" t="s">
        <v>34</v>
      </c>
      <c r="B377" s="2" t="str">
        <f>SUBSTITUTE(SUBSTITUTE(SUBSTITUTE(SUBSTITUTE(SUBSTITUTE(SUBSTITUTE(A377,"""",""), "“", ""),  "”", ""), ".", ""), "–", ""), "‘", "")</f>
        <v>Think different</v>
      </c>
      <c r="C377" s="4" t="s">
        <v>35</v>
      </c>
      <c r="D377" s="3" t="str">
        <f>GetFirstLettersOfAcronym(B377)</f>
        <v>Td</v>
      </c>
      <c r="E377" s="3" t="str">
        <f xml:space="preserve"> CONCATENATE("map.add(new MatchingMnemonic(", CHAR(34), D377,  CHAR(34), ", ", "new MatchingMnemonicDetail(", CHAR(34), B377, CHAR(34), ", ", CHAR(34), C377, CHAR(34),")));")</f>
        <v>map.add(new MatchingMnemonic("Td", new MatchingMnemonicDetail("Think different", "Apple Computer")));</v>
      </c>
    </row>
    <row r="378" spans="1:5" x14ac:dyDescent="0.25">
      <c r="A378" t="s">
        <v>823</v>
      </c>
      <c r="B378" s="2" t="str">
        <f>SUBSTITUTE(SUBSTITUTE(SUBSTITUTE(SUBSTITUTE(SUBSTITUTE(SUBSTITUTE(TRIM(A378),"""",""), "“", ""),  "”", ""), ".", ""), "–", ""), "‘", "")</f>
        <v>The future’s bright The future’s Orange</v>
      </c>
      <c r="C378" t="s">
        <v>922</v>
      </c>
      <c r="D378" s="3" t="str">
        <f>GetFirstLettersOfAcronym(B378)</f>
        <v>TfbTfO</v>
      </c>
      <c r="E378" s="3" t="str">
        <f xml:space="preserve"> CONCATENATE("map.add(new MatchingMnemonic(", CHAR(34), D378,  CHAR(34), ", ", "new MatchingMnemonicDetail(", CHAR(34), B378, CHAR(34), ", ", CHAR(34), C378, CHAR(34),")));")</f>
        <v>map.add(new MatchingMnemonic("TfbTfO", new MatchingMnemonicDetail("The future’s bright The future’s Orange", "Orange")));</v>
      </c>
    </row>
    <row r="379" spans="1:5" x14ac:dyDescent="0.25">
      <c r="A379" s="4" t="s">
        <v>425</v>
      </c>
      <c r="B379" s="2" t="str">
        <f>SUBSTITUTE(SUBSTITUTE(SUBSTITUTE(SUBSTITUTE(SUBSTITUTE(SUBSTITUTE(A379,"""",""), "“", ""),  "”", ""), ".", ""), "–", ""), "‘", "")</f>
        <v>The fun develops instantly</v>
      </c>
      <c r="C379" s="4" t="s">
        <v>426</v>
      </c>
      <c r="D379" s="3" t="str">
        <f>GetFirstLettersOfAcronym(B379)</f>
        <v>Tfdi</v>
      </c>
      <c r="E379" s="3" t="str">
        <f xml:space="preserve"> CONCATENATE("map.add(new MatchingMnemonic(", CHAR(34), D379,  CHAR(34), ", ", "new MatchingMnemonicDetail(", CHAR(34), B379, CHAR(34), ", ", CHAR(34), C379, CHAR(34),")));")</f>
        <v>map.add(new MatchingMnemonic("Tfdi", new MatchingMnemonicDetail("The fun develops instantly", "Polaroid")));</v>
      </c>
    </row>
    <row r="380" spans="1:5" x14ac:dyDescent="0.25">
      <c r="A380" s="4" t="s">
        <v>402</v>
      </c>
      <c r="B380" s="2" t="str">
        <f>SUBSTITUTE(SUBSTITUTE(SUBSTITUTE(SUBSTITUTE(SUBSTITUTE(SUBSTITUTE(A380,"""",""), "“", ""),  "”", ""), ".", ""), "–", ""), "‘", "")</f>
        <v>The flavor says butter</v>
      </c>
      <c r="C380" s="4" t="s">
        <v>403</v>
      </c>
      <c r="D380" s="3" t="str">
        <f>GetFirstLettersOfAcronym(B380)</f>
        <v>Tfsb</v>
      </c>
      <c r="E380" s="3" t="str">
        <f xml:space="preserve"> CONCATENATE("map.add(new MatchingMnemonic(", CHAR(34), D380,  CHAR(34), ", ", "new MatchingMnemonicDetail(", CHAR(34), B380, CHAR(34), ", ", CHAR(34), C380, CHAR(34),")));")</f>
        <v>map.add(new MatchingMnemonic("Tfsb", new MatchingMnemonicDetail("The flavor says butter", "Parkay Margarine")));</v>
      </c>
    </row>
    <row r="381" spans="1:5" x14ac:dyDescent="0.25">
      <c r="A381" s="4" t="s">
        <v>541</v>
      </c>
      <c r="B381" s="2" t="str">
        <f>SUBSTITUTE(SUBSTITUTE(SUBSTITUTE(SUBSTITUTE(SUBSTITUTE(SUBSTITUTE(A381,"""",""), "“", ""),  "”", ""), ".", ""), "–", ""), "‘", "")</f>
        <v>The few, the proud, the Marines</v>
      </c>
      <c r="C381" s="4" t="s">
        <v>542</v>
      </c>
      <c r="D381" s="3" t="str">
        <f>GetFirstLettersOfAcronym(B381)</f>
        <v>TftptM</v>
      </c>
      <c r="E381" s="3" t="str">
        <f xml:space="preserve"> CONCATENATE("map.add(new MatchingMnemonic(", CHAR(34), D381,  CHAR(34), ", ", "new MatchingMnemonicDetail(", CHAR(34), B381, CHAR(34), ", ", CHAR(34), C381, CHAR(34),")));")</f>
        <v>map.add(new MatchingMnemonic("TftptM", new MatchingMnemonicDetail("The few, the proud, the Marines", "U.S. Marines")));</v>
      </c>
    </row>
    <row r="382" spans="1:5" x14ac:dyDescent="0.25">
      <c r="A382" t="s">
        <v>880</v>
      </c>
      <c r="B382" s="2" t="str">
        <f>SUBSTITUTE(SUBSTITUTE(SUBSTITUTE(SUBSTITUTE(SUBSTITUTE(SUBSTITUTE(TRIM(A382),"""",""), "“", ""),  "”", ""), ".", ""), "–", ""), "‘", "")</f>
        <v>They’re GR-R-R-reat</v>
      </c>
      <c r="C382" t="s">
        <v>945</v>
      </c>
      <c r="D382" s="3" t="str">
        <f>GetFirstLettersOfAcronym(B382)</f>
        <v>TG</v>
      </c>
      <c r="E382" s="3" t="str">
        <f xml:space="preserve"> CONCATENATE("map.add(new MatchingMnemonic(", CHAR(34), D382,  CHAR(34), ", ", "new MatchingMnemonicDetail(", CHAR(34), B382, CHAR(34), ", ", CHAR(34), C382, CHAR(34),")));")</f>
        <v>map.add(new MatchingMnemonic("TG", new MatchingMnemonicDetail("They’re GR-R-R-reat", "Kelloggs Frosties")));</v>
      </c>
    </row>
    <row r="383" spans="1:5" x14ac:dyDescent="0.25">
      <c r="A383" s="4" t="s">
        <v>618</v>
      </c>
      <c r="B383" s="2" t="str">
        <f>SUBSTITUTE(SUBSTITUTE(SUBSTITUTE(SUBSTITUTE(SUBSTITUTE(SUBSTITUTE(A383,"""",""), "“", ""),  "”", ""), ".", ""), "–", ""), "‘", "")</f>
        <v>Things go better with Coke</v>
      </c>
      <c r="C383" s="4" t="s">
        <v>124</v>
      </c>
      <c r="D383" s="3" t="str">
        <f>GetFirstLettersOfAcronym(B383)</f>
        <v>TgbwC</v>
      </c>
      <c r="E383" s="3" t="str">
        <f xml:space="preserve"> CONCATENATE("map.add(new MatchingMnemonic(", CHAR(34), D383,  CHAR(34), ", ", "new MatchingMnemonicDetail(", CHAR(34), B383, CHAR(34), ", ", CHAR(34), C383, CHAR(34),")));")</f>
        <v>map.add(new MatchingMnemonic("TgbwC", new MatchingMnemonicDetail("Things go better with Coke", "Coca-Cola")));</v>
      </c>
    </row>
    <row r="384" spans="1:5" x14ac:dyDescent="0.25">
      <c r="A384" s="4" t="s">
        <v>341</v>
      </c>
      <c r="B384" s="2" t="str">
        <f>SUBSTITUTE(SUBSTITUTE(SUBSTITUTE(SUBSTITUTE(SUBSTITUTE(SUBSTITUTE(A384,"""",""), "“", ""),  "”", ""), ".", ""), "–", ""), "‘", "")</f>
        <v>Tastes great, less filling</v>
      </c>
      <c r="C384" s="4" t="s">
        <v>340</v>
      </c>
      <c r="D384" s="3" t="str">
        <f>GetFirstLettersOfAcronym(B384)</f>
        <v>Tglf</v>
      </c>
      <c r="E384" s="3" t="str">
        <f xml:space="preserve"> CONCATENATE("map.add(new MatchingMnemonic(", CHAR(34), D384,  CHAR(34), ", ", "new MatchingMnemonicDetail(", CHAR(34), B384, CHAR(34), ", ", CHAR(34), C384, CHAR(34),")));")</f>
        <v>map.add(new MatchingMnemonic("Tglf", new MatchingMnemonicDetail("Tastes great, less filling", "Miller Lite")));</v>
      </c>
    </row>
    <row r="385" spans="1:5" x14ac:dyDescent="0.25">
      <c r="A385" t="s">
        <v>854</v>
      </c>
      <c r="B385" s="2" t="str">
        <f>SUBSTITUTE(SUBSTITUTE(SUBSTITUTE(SUBSTITUTE(SUBSTITUTE(SUBSTITUTE(TRIM(A385),"""",""), "“", ""),  "”", ""), ".", ""), "–", ""), "‘", "")</f>
        <v>The greatest tragedy is indifference</v>
      </c>
      <c r="C385" t="s">
        <v>930</v>
      </c>
      <c r="D385" s="3" t="str">
        <f>GetFirstLettersOfAcronym(B385)</f>
        <v>Tgtii</v>
      </c>
      <c r="E385" s="3" t="str">
        <f xml:space="preserve"> CONCATENATE("map.add(new MatchingMnemonic(", CHAR(34), D385,  CHAR(34), ", ", "new MatchingMnemonicDetail(", CHAR(34), B385, CHAR(34), ", ", CHAR(34), C385, CHAR(34),")));")</f>
        <v>map.add(new MatchingMnemonic("Tgtii", new MatchingMnemonicDetail("The greatest tragedy is indifference", "Red Cross")));</v>
      </c>
    </row>
    <row r="386" spans="1:5" x14ac:dyDescent="0.25">
      <c r="A386" s="3" t="s">
        <v>730</v>
      </c>
      <c r="B386" s="2" t="str">
        <f>SUBSTITUTE(SUBSTITUTE(SUBSTITUTE(SUBSTITUTE(SUBSTITUTE(SUBSTITUTE(A386,"""",""), "“", ""),  "”", ""), ".", ""), "–", ""), "‘", "")</f>
        <v xml:space="preserve"> The greatest tragedy is indifference</v>
      </c>
      <c r="C386" s="3" t="s">
        <v>729</v>
      </c>
      <c r="D386" s="3" t="str">
        <f>GetFirstLettersOfAcronym(B386)</f>
        <v>Tgtii</v>
      </c>
      <c r="E386" s="3" t="str">
        <f xml:space="preserve"> CONCATENATE("map.add(new MatchingMnemonic(", CHAR(34), D386,  CHAR(34), ", ", "new MatchingMnemonicDetail(", CHAR(34), B386, CHAR(34), ", ", CHAR(34), C386, CHAR(34),")));")</f>
        <v>map.add(new MatchingMnemonic("Tgtii", new MatchingMnemonicDetail(" The greatest tragedy is indifference", "Red Cross ")));</v>
      </c>
    </row>
    <row r="387" spans="1:5" x14ac:dyDescent="0.25">
      <c r="A387" s="2" t="s">
        <v>155</v>
      </c>
      <c r="B387" s="2" t="str">
        <f>SUBSTITUTE(SUBSTITUTE(SUBSTITUTE(SUBSTITUTE(SUBSTITUTE(SUBSTITUTE(A387,"""",""), "“", ""),  "”", ""), ".", ""), "–", ""), "‘", "")</f>
        <v>The happiest place on earth</v>
      </c>
      <c r="C387" s="2" t="s">
        <v>156</v>
      </c>
      <c r="D387" s="3" t="str">
        <f>GetFirstLettersOfAcronym(B387)</f>
        <v>Thpoe</v>
      </c>
      <c r="E387" s="3" t="str">
        <f xml:space="preserve"> CONCATENATE("map.add(new MatchingMnemonic(", CHAR(34), D387,  CHAR(34), ", ", "new MatchingMnemonicDetail(", CHAR(34), B387, CHAR(34), ", ", CHAR(34), C387, CHAR(34),")));")</f>
        <v>map.add(new MatchingMnemonic("Thpoe", new MatchingMnemonicDetail("The happiest place on earth", "Disneyland")));</v>
      </c>
    </row>
    <row r="388" spans="1:5" x14ac:dyDescent="0.25">
      <c r="A388" s="2" t="s">
        <v>376</v>
      </c>
      <c r="B388" s="2" t="str">
        <f>SUBSTITUTE(SUBSTITUTE(SUBSTITUTE(SUBSTITUTE(SUBSTITUTE(SUBSTITUTE(A388,"""",""), "“", ""),  "”", ""), ".", ""), "–", ""), "‘", "")</f>
        <v>Take it all off</v>
      </c>
      <c r="C388" s="2" t="s">
        <v>377</v>
      </c>
      <c r="D388" s="3" t="str">
        <f>GetFirstLettersOfAcronym(B388)</f>
        <v>Tiao</v>
      </c>
      <c r="E388" s="3" t="str">
        <f xml:space="preserve"> CONCATENATE("map.add(new MatchingMnemonic(", CHAR(34), D388,  CHAR(34), ", ", "new MatchingMnemonicDetail(", CHAR(34), B388, CHAR(34), ", ", CHAR(34), C388, CHAR(34),")));")</f>
        <v>map.add(new MatchingMnemonic("Tiao", new MatchingMnemonicDetail("Take it all off", "Noxzema")));</v>
      </c>
    </row>
    <row r="389" spans="1:5" x14ac:dyDescent="0.25">
      <c r="A389" s="2" t="s">
        <v>595</v>
      </c>
      <c r="B389" s="2" t="str">
        <f>SUBSTITUTE(SUBSTITUTE(SUBSTITUTE(SUBSTITUTE(SUBSTITUTE(SUBSTITUTE(A389,"""",""), "“", ""),  "”", ""), ".", ""), "–", ""), "‘", "")</f>
        <v>The incredible, edible egg</v>
      </c>
      <c r="C389" s="2" t="s">
        <v>596</v>
      </c>
      <c r="D389" s="3" t="str">
        <f>GetFirstLettersOfAcronym(B389)</f>
        <v>Tiee</v>
      </c>
      <c r="E389" s="3" t="str">
        <f xml:space="preserve"> CONCATENATE("map.add(new MatchingMnemonic(", CHAR(34), D389,  CHAR(34), ", ", "new MatchingMnemonicDetail(", CHAR(34), B389, CHAR(34), ", ", CHAR(34), C389, CHAR(34),")));")</f>
        <v>map.add(new MatchingMnemonic("Tiee", new MatchingMnemonicDetail("The incredible, edible egg", "American Egg Board")));</v>
      </c>
    </row>
    <row r="390" spans="1:5" x14ac:dyDescent="0.25">
      <c r="A390" s="3" t="s">
        <v>708</v>
      </c>
      <c r="B390" s="2" t="str">
        <f>SUBSTITUTE(SUBSTITUTE(SUBSTITUTE(SUBSTITUTE(SUBSTITUTE(SUBSTITUTE(A390,"""",""), "“", ""),  "”", ""), ".", ""), "–", ""), "‘", "")</f>
        <v xml:space="preserve"> There is no substitute</v>
      </c>
      <c r="C390" s="3" t="s">
        <v>707</v>
      </c>
      <c r="D390" s="3" t="str">
        <f>GetFirstLettersOfAcronym(B390)</f>
        <v>Tins</v>
      </c>
      <c r="E390" s="3" t="str">
        <f xml:space="preserve"> CONCATENATE("map.add(new MatchingMnemonic(", CHAR(34), D390,  CHAR(34), ", ", "new MatchingMnemonicDetail(", CHAR(34), B390, CHAR(34), ", ", CHAR(34), C390, CHAR(34),")));")</f>
        <v>map.add(new MatchingMnemonic("Tins", new MatchingMnemonicDetail(" There is no substitute", "Porsche ")));</v>
      </c>
    </row>
    <row r="391" spans="1:5" ht="28.5" x14ac:dyDescent="0.25">
      <c r="A391" s="2" t="s">
        <v>404</v>
      </c>
      <c r="B391" s="2" t="str">
        <f>SUBSTITUTE(SUBSTITUTE(SUBSTITUTE(SUBSTITUTE(SUBSTITUTE(SUBSTITUTE(A391,"""",""), "“", ""),  "”", ""), ".", ""), "–", ""), "‘", "")</f>
        <v>This is your brain This is your brain on drugs</v>
      </c>
      <c r="C391" s="2" t="s">
        <v>405</v>
      </c>
      <c r="D391" s="3" t="str">
        <f>GetFirstLettersOfAcronym(B391)</f>
        <v>TiybTiybod</v>
      </c>
      <c r="E391" s="3" t="str">
        <f xml:space="preserve"> CONCATENATE("map.add(new MatchingMnemonic(", CHAR(34), D391,  CHAR(34), ", ", "new MatchingMnemonicDetail(", CHAR(34), B391, CHAR(34), ", ", CHAR(34), C391, CHAR(34),")));")</f>
        <v>map.add(new MatchingMnemonic("TiybTiybod", new MatchingMnemonicDetail("This is your brain This is your brain on drugs", "Partnership for a Drug-Free America")));</v>
      </c>
    </row>
    <row r="392" spans="1:5" x14ac:dyDescent="0.25">
      <c r="A392" s="4" t="s">
        <v>13</v>
      </c>
      <c r="B392" s="2" t="str">
        <f>SUBSTITUTE(SUBSTITUTE(SUBSTITUTE(SUBSTITUTE(SUBSTITUTE(SUBSTITUTE(A392,"""",""), "“", ""),  "”", ""), ".", ""), "–", ""), "‘", "")</f>
        <v>Try it, you’ll like it</v>
      </c>
      <c r="C392" s="4" t="s">
        <v>11</v>
      </c>
      <c r="D392" s="3" t="str">
        <f>GetFirstLettersOfAcronym(B392)</f>
        <v>Tiyli</v>
      </c>
      <c r="E392" s="3" t="str">
        <f xml:space="preserve"> CONCATENATE("map.add(new MatchingMnemonic(", CHAR(34), D392,  CHAR(34), ", ", "new MatchingMnemonicDetail(", CHAR(34), B392, CHAR(34), ", ", CHAR(34), C392, CHAR(34),")));")</f>
        <v>map.add(new MatchingMnemonic("Tiyli", new MatchingMnemonicDetail("Try it, you’ll like it", "Alka-Seltzer")));</v>
      </c>
    </row>
    <row r="393" spans="1:5" x14ac:dyDescent="0.25">
      <c r="A393" s="2" t="s">
        <v>73</v>
      </c>
      <c r="B393" s="2" t="str">
        <f>SUBSTITUTE(SUBSTITUTE(SUBSTITUTE(SUBSTITUTE(SUBSTITUTE(SUBSTITUTE(A393,"""",""), "“", ""),  "”", ""), ".", ""), "–", ""), "‘", "")</f>
        <v>The king of beers</v>
      </c>
      <c r="C393" s="2" t="s">
        <v>72</v>
      </c>
      <c r="D393" s="3" t="str">
        <f>GetFirstLettersOfAcronym(B393)</f>
        <v>Tkob</v>
      </c>
      <c r="E393" s="3" t="str">
        <f xml:space="preserve"> CONCATENATE("map.add(new MatchingMnemonic(", CHAR(34), D393,  CHAR(34), ", ", "new MatchingMnemonicDetail(", CHAR(34), B393, CHAR(34), ", ", CHAR(34), C393, CHAR(34),")));")</f>
        <v>map.add(new MatchingMnemonic("Tkob", new MatchingMnemonicDetail("The king of beers", "Budweiser")));</v>
      </c>
    </row>
    <row r="394" spans="1:5" x14ac:dyDescent="0.25">
      <c r="A394" t="s">
        <v>802</v>
      </c>
      <c r="B394" s="2" t="str">
        <f>SUBSTITUTE(SUBSTITUTE(SUBSTITUTE(SUBSTITUTE(SUBSTITUTE(SUBSTITUTE(TRIM(A394),"""",""), "“", ""),  "”", ""), ".", ""), "–", ""), "‘", "")</f>
        <v>The last place you want to go</v>
      </c>
      <c r="C394" t="s">
        <v>901</v>
      </c>
      <c r="D394" s="3" t="str">
        <f>GetFirstLettersOfAcronym(B394)</f>
        <v>Tlpywtg</v>
      </c>
      <c r="E394" s="3" t="str">
        <f xml:space="preserve"> CONCATENATE("map.add(new MatchingMnemonic(", CHAR(34), D394,  CHAR(34), ", ", "new MatchingMnemonicDetail(", CHAR(34), B394, CHAR(34), ", ", CHAR(34), C394, CHAR(34),")));")</f>
        <v>map.add(new MatchingMnemonic("Tlpywtg", new MatchingMnemonicDetail("The last place you want to go", "Dixons")));</v>
      </c>
    </row>
    <row r="395" spans="1:5" x14ac:dyDescent="0.25">
      <c r="A395" t="s">
        <v>817</v>
      </c>
      <c r="B395" s="2" t="str">
        <f>SUBSTITUTE(SUBSTITUTE(SUBSTITUTE(SUBSTITUTE(SUBSTITUTE(SUBSTITUTE(TRIM(A395),"""",""), "“", ""),  "”", ""), ".", ""), "–", ""), "‘", "")</f>
        <v>The milk chocolate melts in your mouth, not in your hand</v>
      </c>
      <c r="C395" t="s">
        <v>915</v>
      </c>
      <c r="D395" s="3" t="str">
        <f>GetFirstLettersOfAcronym(B395)</f>
        <v>Tmcmiymniyh</v>
      </c>
      <c r="E395" s="3" t="str">
        <f xml:space="preserve"> CONCATENATE("map.add(new MatchingMnemonic(", CHAR(34), D395,  CHAR(34), ", ", "new MatchingMnemonicDetail(", CHAR(34), B395, CHAR(34), ", ", CHAR(34), C395, CHAR(34),")));")</f>
        <v>map.add(new MatchingMnemonic("Tmcmiymniyh", new MatchingMnemonicDetail("The milk chocolate melts in your mouth, not in your hand", "M&amp;M")));</v>
      </c>
    </row>
    <row r="396" spans="1:5" x14ac:dyDescent="0.25">
      <c r="A396" s="2" t="s">
        <v>528</v>
      </c>
      <c r="B396" s="2" t="str">
        <f>SUBSTITUTE(SUBSTITUTE(SUBSTITUTE(SUBSTITUTE(SUBSTITUTE(SUBSTITUTE(A396,"""",""), "“", ""),  "”", ""), ".", ""), "–", ""), "‘", "")</f>
        <v>The mind is a terrible thing to waste</v>
      </c>
      <c r="C396" s="2" t="s">
        <v>529</v>
      </c>
      <c r="D396" s="3" t="str">
        <f>GetFirstLettersOfAcronym(B396)</f>
        <v>Tmiatttw</v>
      </c>
      <c r="E396" s="3" t="str">
        <f xml:space="preserve"> CONCATENATE("map.add(new MatchingMnemonic(", CHAR(34), D396,  CHAR(34), ", ", "new MatchingMnemonicDetail(", CHAR(34), B396, CHAR(34), ", ", CHAR(34), C396, CHAR(34),")));")</f>
        <v>map.add(new MatchingMnemonic("Tmiatttw", new MatchingMnemonicDetail("The mind is a terrible thing to waste", "United Negro College Fund")));</v>
      </c>
    </row>
    <row r="397" spans="1:5" x14ac:dyDescent="0.25">
      <c r="A397" s="2" t="s">
        <v>384</v>
      </c>
      <c r="B397" s="2" t="str">
        <f>SUBSTITUTE(SUBSTITUTE(SUBSTITUTE(SUBSTITUTE(SUBSTITUTE(SUBSTITUTE(A397,"""",""), "“", ""),  "”", ""), ".", ""), "–", ""), "‘", "")</f>
        <v>The mark of a man</v>
      </c>
      <c r="C397" s="2" t="s">
        <v>385</v>
      </c>
      <c r="D397" s="3" t="str">
        <f>GetFirstLettersOfAcronym(B397)</f>
        <v>Tmoam</v>
      </c>
      <c r="E397" s="3" t="str">
        <f xml:space="preserve"> CONCATENATE("map.add(new MatchingMnemonic(", CHAR(34), D397,  CHAR(34), ", ", "new MatchingMnemonicDetail(", CHAR(34), B397, CHAR(34), ", ", CHAR(34), C397, CHAR(34),")));")</f>
        <v>map.add(new MatchingMnemonic("Tmoam", new MatchingMnemonicDetail("The mark of a man", "Old Spice")));</v>
      </c>
    </row>
    <row r="398" spans="1:5" x14ac:dyDescent="0.25">
      <c r="A398" s="2" t="s">
        <v>159</v>
      </c>
      <c r="B398" s="2" t="str">
        <f>SUBSTITUTE(SUBSTITUTE(SUBSTITUTE(SUBSTITUTE(SUBSTITUTE(SUBSTITUTE(A398,"""",""), "“", ""),  "”", ""), ".", ""), "–", ""), "‘", "")</f>
        <v>The miracles of science</v>
      </c>
      <c r="C398" s="2" t="s">
        <v>160</v>
      </c>
      <c r="D398" s="3" t="str">
        <f>GetFirstLettersOfAcronym(B398)</f>
        <v>Tmos</v>
      </c>
      <c r="E398" s="3" t="str">
        <f xml:space="preserve"> CONCATENATE("map.add(new MatchingMnemonic(", CHAR(34), D398,  CHAR(34), ", ", "new MatchingMnemonicDetail(", CHAR(34), B398, CHAR(34), ", ", CHAR(34), C398, CHAR(34),")));")</f>
        <v>map.add(new MatchingMnemonic("Tmos", new MatchingMnemonicDetail("The miracles of science", "DuPont")));</v>
      </c>
    </row>
    <row r="399" spans="1:5" x14ac:dyDescent="0.25">
      <c r="A399" s="4" t="s">
        <v>121</v>
      </c>
      <c r="B399" s="2" t="str">
        <f>SUBSTITUTE(SUBSTITUTE(SUBSTITUTE(SUBSTITUTE(SUBSTITUTE(SUBSTITUTE(A399,"""",""), "“", ""),  "”", ""), ".", ""), "–", ""), "‘", "")</f>
        <v>The most trusted name in news</v>
      </c>
      <c r="C399" s="4" t="s">
        <v>122</v>
      </c>
      <c r="D399" s="3" t="str">
        <f>GetFirstLettersOfAcronym(B399)</f>
        <v>Tmtnin</v>
      </c>
      <c r="E399" s="3" t="str">
        <f xml:space="preserve"> CONCATENATE("map.add(new MatchingMnemonic(", CHAR(34), D399,  CHAR(34), ", ", "new MatchingMnemonicDetail(", CHAR(34), B399, CHAR(34), ", ", CHAR(34), C399, CHAR(34),")));")</f>
        <v>map.add(new MatchingMnemonic("Tmtnin", new MatchingMnemonicDetail("The most trusted name in news", "CNN")));</v>
      </c>
    </row>
    <row r="400" spans="1:5" x14ac:dyDescent="0.25">
      <c r="A400" t="s">
        <v>885</v>
      </c>
      <c r="B400" s="2" t="str">
        <f>SUBSTITUTE(SUBSTITUTE(SUBSTITUTE(SUBSTITUTE(SUBSTITUTE(SUBSTITUTE(TRIM(A400),"""",""), "“", ""),  "”", ""), ".", ""), "–", ""), "‘", "")</f>
        <v>The Make Up of Make Up Artists</v>
      </c>
      <c r="C400" t="s">
        <v>946</v>
      </c>
      <c r="D400" s="3" t="str">
        <f>GetFirstLettersOfAcronym(B400)</f>
        <v>TMUoMUA</v>
      </c>
      <c r="E400" s="3" t="str">
        <f xml:space="preserve"> CONCATENATE("map.add(new MatchingMnemonic(", CHAR(34), D400,  CHAR(34), ", ", "new MatchingMnemonicDetail(", CHAR(34), B400, CHAR(34), ", ", CHAR(34), C400, CHAR(34),")));")</f>
        <v>map.add(new MatchingMnemonic("TMUoMUA", new MatchingMnemonicDetail("The Make Up of Make Up Artists", "Max Factor")));</v>
      </c>
    </row>
    <row r="401" spans="1:5" x14ac:dyDescent="0.25">
      <c r="A401" s="2" t="s">
        <v>498</v>
      </c>
      <c r="B401" s="2" t="str">
        <f>SUBSTITUTE(SUBSTITUTE(SUBSTITUTE(SUBSTITUTE(SUBSTITUTE(SUBSTITUTE(A401,"""",""), "“", ""),  "”", ""), ".", ""), "–", ""), "‘", "")</f>
        <v>There’s no equal</v>
      </c>
      <c r="C401" s="2" t="s">
        <v>499</v>
      </c>
      <c r="D401" s="3" t="str">
        <f>GetFirstLettersOfAcronym(B401)</f>
        <v>Tne</v>
      </c>
      <c r="E401" s="3" t="str">
        <f xml:space="preserve"> CONCATENATE("map.add(new MatchingMnemonic(", CHAR(34), D401,  CHAR(34), ", ", "new MatchingMnemonicDetail(", CHAR(34), B401, CHAR(34), ", ", CHAR(34), C401, CHAR(34),")));")</f>
        <v>map.add(new MatchingMnemonic("Tne", new MatchingMnemonicDetail("There’s no equal", "Sweet ‘N Low")));</v>
      </c>
    </row>
    <row r="402" spans="1:5" x14ac:dyDescent="0.25">
      <c r="A402" s="4" t="s">
        <v>492</v>
      </c>
      <c r="B402" s="2" t="str">
        <f>SUBSTITUTE(SUBSTITUTE(SUBSTITUTE(SUBSTITUTE(SUBSTITUTE(SUBSTITUTE(A402,"""",""), "“", ""),  "”", ""), ".", ""), "–", ""), "‘", "")</f>
        <v>The network is the computer</v>
      </c>
      <c r="C402" s="4" t="s">
        <v>493</v>
      </c>
      <c r="D402" s="3" t="str">
        <f>GetFirstLettersOfAcronym(B402)</f>
        <v>Tnitc</v>
      </c>
      <c r="E402" s="3" t="str">
        <f xml:space="preserve"> CONCATENATE("map.add(new MatchingMnemonic(", CHAR(34), D402,  CHAR(34), ", ", "new MatchingMnemonicDetail(", CHAR(34), B402, CHAR(34), ", ", CHAR(34), C402, CHAR(34),")));")</f>
        <v>map.add(new MatchingMnemonic("Tnitc", new MatchingMnemonicDetail("The network is the computer", "Sun Microsystems")));</v>
      </c>
    </row>
    <row r="403" spans="1:5" x14ac:dyDescent="0.25">
      <c r="A403" s="2" t="s">
        <v>570</v>
      </c>
      <c r="B403" s="2" t="str">
        <f>SUBSTITUTE(SUBSTITUTE(SUBSTITUTE(SUBSTITUTE(SUBSTITUTE(SUBSTITUTE(A403,"""",""), "“", ""),  "”", ""), ".", ""), "–", ""), "‘", "")</f>
        <v>The next stage</v>
      </c>
      <c r="C403" s="2" t="s">
        <v>571</v>
      </c>
      <c r="D403" s="3" t="str">
        <f>GetFirstLettersOfAcronym(B403)</f>
        <v>Tns</v>
      </c>
      <c r="E403" s="3" t="str">
        <f xml:space="preserve"> CONCATENATE("map.add(new MatchingMnemonic(", CHAR(34), D403,  CHAR(34), ", ", "new MatchingMnemonicDetail(", CHAR(34), B403, CHAR(34), ", ", CHAR(34), C403, CHAR(34),")));")</f>
        <v>map.add(new MatchingMnemonic("Tns", new MatchingMnemonicDetail("The next stage", "Wells Fargo")));</v>
      </c>
    </row>
    <row r="404" spans="1:5" ht="42.75" x14ac:dyDescent="0.25">
      <c r="A404" s="4" t="s">
        <v>378</v>
      </c>
      <c r="B404" s="2" t="str">
        <f>SUBSTITUTE(SUBSTITUTE(SUBSTITUTE(SUBSTITUTE(SUBSTITUTE(SUBSTITUTE(A404,"""",""), "“", ""),  "”", ""), ".", ""), "–", ""), "‘", "")</f>
        <v>The nighttime sniffling sneezing coughing aching stuffy head fever so you can rest medicine</v>
      </c>
      <c r="C404" s="4" t="s">
        <v>379</v>
      </c>
      <c r="D404" s="3" t="str">
        <f>GetFirstLettersOfAcronym(B404)</f>
        <v>Tnsscashfsycrm</v>
      </c>
      <c r="E404" s="3" t="str">
        <f xml:space="preserve"> CONCATENATE("map.add(new MatchingMnemonic(", CHAR(34), D404,  CHAR(34), ", ", "new MatchingMnemonicDetail(", CHAR(34), B404, CHAR(34), ", ", CHAR(34), C404, CHAR(34),")));")</f>
        <v>map.add(new MatchingMnemonic("Tnsscashfsycrm", new MatchingMnemonicDetail("The nighttime sniffling sneezing coughing aching stuffy head fever so you can rest medicine", "NyQuil")));</v>
      </c>
    </row>
    <row r="405" spans="1:5" x14ac:dyDescent="0.25">
      <c r="A405" s="4" t="s">
        <v>37</v>
      </c>
      <c r="B405" s="2" t="str">
        <f>SUBSTITUTE(SUBSTITUTE(SUBSTITUTE(SUBSTITUTE(SUBSTITUTE(SUBSTITUTE(A405,"""",""), "“", ""),  "”", ""), ".", ""), "–", ""), "‘", "")</f>
        <v>Think outside the box</v>
      </c>
      <c r="C405" s="4" t="s">
        <v>35</v>
      </c>
      <c r="D405" s="3" t="str">
        <f>GetFirstLettersOfAcronym(B405)</f>
        <v>Totb</v>
      </c>
      <c r="E405" s="3" t="str">
        <f xml:space="preserve"> CONCATENATE("map.add(new MatchingMnemonic(", CHAR(34), D405,  CHAR(34), ", ", "new MatchingMnemonicDetail(", CHAR(34), B405, CHAR(34), ", ", CHAR(34), C405, CHAR(34),")));")</f>
        <v>map.add(new MatchingMnemonic("Totb", new MatchingMnemonicDetail("Think outside the box", "Apple Computer")));</v>
      </c>
    </row>
    <row r="406" spans="1:5" x14ac:dyDescent="0.25">
      <c r="A406" s="4" t="s">
        <v>500</v>
      </c>
      <c r="B406" s="2" t="str">
        <f>SUBSTITUTE(SUBSTITUTE(SUBSTITUTE(SUBSTITUTE(SUBSTITUTE(SUBSTITUTE(A406,"""",""), "“", ""),  "”", ""), ".", ""), "–", ""), "‘", "")</f>
        <v>Think outside the bun</v>
      </c>
      <c r="C406" s="4" t="s">
        <v>501</v>
      </c>
      <c r="D406" s="3" t="str">
        <f>GetFirstLettersOfAcronym(B406)</f>
        <v>Totb</v>
      </c>
      <c r="E406" s="3" t="str">
        <f xml:space="preserve"> CONCATENATE("map.add(new MatchingMnemonic(", CHAR(34), D406,  CHAR(34), ", ", "new MatchingMnemonicDetail(", CHAR(34), B406, CHAR(34), ", ", CHAR(34), C406, CHAR(34),")));")</f>
        <v>map.add(new MatchingMnemonic("Totb", new MatchingMnemonicDetail("Think outside the bun", "Taco Bell")));</v>
      </c>
    </row>
    <row r="407" spans="1:5" x14ac:dyDescent="0.25">
      <c r="A407" s="4" t="s">
        <v>95</v>
      </c>
      <c r="B407" s="2" t="str">
        <f>SUBSTITUTE(SUBSTITUTE(SUBSTITUTE(SUBSTITUTE(SUBSTITUTE(SUBSTITUTE(A407,"""",""), "“", ""),  "”", ""), ".", ""), "–", ""), "‘", "")</f>
        <v>Turning partnership into energy</v>
      </c>
      <c r="C407" s="4" t="s">
        <v>96</v>
      </c>
      <c r="D407" s="3" t="str">
        <f>GetFirstLettersOfAcronym(B407)</f>
        <v>Tpie</v>
      </c>
      <c r="E407" s="3" t="str">
        <f xml:space="preserve"> CONCATENATE("map.add(new MatchingMnemonic(", CHAR(34), D407,  CHAR(34), ", ", "new MatchingMnemonicDetail(", CHAR(34), B407, CHAR(34), ", ", CHAR(34), C407, CHAR(34),")));")</f>
        <v>map.add(new MatchingMnemonic("Tpie", new MatchingMnemonicDetail("Turning partnership into energy", "ChevronTexaco")));</v>
      </c>
    </row>
    <row r="408" spans="1:5" x14ac:dyDescent="0.25">
      <c r="A408" s="2" t="s">
        <v>162</v>
      </c>
      <c r="B408" s="2" t="str">
        <f>SUBSTITUTE(SUBSTITUTE(SUBSTITUTE(SUBSTITUTE(SUBSTITUTE(SUBSTITUTE(A408,"""",""), "“", ""),  "”", ""), ".", ""), "–", ""), "‘", "")</f>
        <v>The power of all of us</v>
      </c>
      <c r="C408" s="2" t="s">
        <v>163</v>
      </c>
      <c r="D408" s="3" t="str">
        <f>GetFirstLettersOfAcronym(B408)</f>
        <v>Tpoaou</v>
      </c>
      <c r="E408" s="3" t="str">
        <f xml:space="preserve"> CONCATENATE("map.add(new MatchingMnemonic(", CHAR(34), D408,  CHAR(34), ", ", "new MatchingMnemonicDetail(", CHAR(34), B408, CHAR(34), ", ", CHAR(34), C408, CHAR(34),")));")</f>
        <v>map.add(new MatchingMnemonic("Tpoaou", new MatchingMnemonicDetail("The power of all of us", "eBay")));</v>
      </c>
    </row>
    <row r="409" spans="1:5" x14ac:dyDescent="0.25">
      <c r="A409" s="2" t="s">
        <v>246</v>
      </c>
      <c r="B409" s="2" t="str">
        <f>SUBSTITUTE(SUBSTITUTE(SUBSTITUTE(SUBSTITUTE(SUBSTITUTE(SUBSTITUTE(A409,"""",""), "“", ""),  "”", ""), ".", ""), "–", ""), "‘", "")</f>
        <v>The power of dreams</v>
      </c>
      <c r="C409" s="2" t="s">
        <v>247</v>
      </c>
      <c r="D409" s="3" t="str">
        <f>GetFirstLettersOfAcronym(B409)</f>
        <v>Tpod</v>
      </c>
      <c r="E409" s="3" t="str">
        <f xml:space="preserve"> CONCATENATE("map.add(new MatchingMnemonic(", CHAR(34), D409,  CHAR(34), ", ", "new MatchingMnemonicDetail(", CHAR(34), B409, CHAR(34), ", ", CHAR(34), C409, CHAR(34),")));")</f>
        <v>map.add(new MatchingMnemonic("Tpod", new MatchingMnemonicDetail("The power of dreams", "Honda")));</v>
      </c>
    </row>
    <row r="410" spans="1:5" x14ac:dyDescent="0.25">
      <c r="A410" s="2" t="s">
        <v>36</v>
      </c>
      <c r="B410" s="2" t="str">
        <f>SUBSTITUTE(SUBSTITUTE(SUBSTITUTE(SUBSTITUTE(SUBSTITUTE(SUBSTITUTE(A410,"""",""), "“", ""),  "”", ""), ".", ""), "–", ""), "‘", "")</f>
        <v>The power to be your best</v>
      </c>
      <c r="C410" s="2" t="s">
        <v>35</v>
      </c>
      <c r="D410" s="3" t="str">
        <f>GetFirstLettersOfAcronym(B410)</f>
        <v>Tptbyb</v>
      </c>
      <c r="E410" s="3" t="str">
        <f xml:space="preserve"> CONCATENATE("map.add(new MatchingMnemonic(", CHAR(34), D410,  CHAR(34), ", ", "new MatchingMnemonicDetail(", CHAR(34), B410, CHAR(34), ", ", CHAR(34), C410, CHAR(34),")));")</f>
        <v>map.add(new MatchingMnemonic("Tptbyb", new MatchingMnemonicDetail("The power to be your best", "Apple Computer")));</v>
      </c>
    </row>
    <row r="411" spans="1:5" x14ac:dyDescent="0.25">
      <c r="A411" s="4" t="s">
        <v>125</v>
      </c>
      <c r="B411" s="2" t="str">
        <f>SUBSTITUTE(SUBSTITUTE(SUBSTITUTE(SUBSTITUTE(SUBSTITUTE(SUBSTITUTE(A411,"""",""), "“", ""),  "”", ""), ".", ""), "–", ""), "‘", "")</f>
        <v>The pause that refreshes</v>
      </c>
      <c r="C411" s="4" t="s">
        <v>124</v>
      </c>
      <c r="D411" s="3" t="str">
        <f>GetFirstLettersOfAcronym(B411)</f>
        <v>Tptr</v>
      </c>
      <c r="E411" s="3" t="str">
        <f xml:space="preserve"> CONCATENATE("map.add(new MatchingMnemonic(", CHAR(34), D411,  CHAR(34), ", ", "new MatchingMnemonicDetail(", CHAR(34), B411, CHAR(34), ", ", CHAR(34), C411, CHAR(34),")));")</f>
        <v>map.add(new MatchingMnemonic("Tptr", new MatchingMnemonicDetail("The pause that refreshes", "Coca-Cola")));</v>
      </c>
    </row>
    <row r="412" spans="1:5" ht="28.5" x14ac:dyDescent="0.25">
      <c r="A412" s="2" t="s">
        <v>590</v>
      </c>
      <c r="B412" s="2" t="str">
        <f>SUBSTITUTE(SUBSTITUTE(SUBSTITUTE(SUBSTITUTE(SUBSTITUTE(SUBSTITUTE(A412,"""",""), "“", ""),  "”", ""), ".", ""), "–", ""), "‘", "")</f>
        <v>The quality goes in before the name goes on</v>
      </c>
      <c r="C412" s="2" t="s">
        <v>591</v>
      </c>
      <c r="D412" s="3" t="str">
        <f>GetFirstLettersOfAcronym(B412)</f>
        <v>Tqgibtngo</v>
      </c>
      <c r="E412" s="3" t="str">
        <f xml:space="preserve"> CONCATENATE("map.add(new MatchingMnemonic(", CHAR(34), D412,  CHAR(34), ", ", "new MatchingMnemonicDetail(", CHAR(34), B412, CHAR(34), ", ", CHAR(34), C412, CHAR(34),")));")</f>
        <v>map.add(new MatchingMnemonic("Tqgibtngo", new MatchingMnemonicDetail("The quality goes in before the name goes on", "Zenith")));</v>
      </c>
    </row>
    <row r="413" spans="1:5" x14ac:dyDescent="0.25">
      <c r="A413" t="s">
        <v>760</v>
      </c>
      <c r="B413" s="2" t="str">
        <f>SUBSTITUTE(SUBSTITUTE(SUBSTITUTE(SUBSTITUTE(SUBSTITUTE(SUBSTITUTE(TRIM(A413),"""",""), "“", ""),  "”", ""), ".", ""), "–", ""), "‘", "")</f>
        <v>The quicker picker-upper</v>
      </c>
      <c r="C413" t="s">
        <v>61</v>
      </c>
      <c r="D413" s="3" t="str">
        <f>GetFirstLettersOfAcronym(B413)</f>
        <v>Tqp</v>
      </c>
      <c r="E413" s="3" t="str">
        <f xml:space="preserve"> CONCATENATE("map.add(new MatchingMnemonic(", CHAR(34), D413,  CHAR(34), ", ", "new MatchingMnemonicDetail(", CHAR(34), B413, CHAR(34), ", ", CHAR(34), C413, CHAR(34),")));")</f>
        <v>map.add(new MatchingMnemonic("Tqp", new MatchingMnemonicDetail("The quicker picker-upper", "Bounty")));</v>
      </c>
    </row>
    <row r="414" spans="1:5" x14ac:dyDescent="0.25">
      <c r="A414" s="2" t="s">
        <v>14</v>
      </c>
      <c r="B414" s="2" t="str">
        <f>SUBSTITUTE(SUBSTITUTE(SUBSTITUTE(SUBSTITUTE(SUBSTITUTE(SUBSTITUTE(A414,"""",""), "“", ""),  "”", ""), ".", ""), "–", ""), "‘", "")</f>
        <v>The relief goes on</v>
      </c>
      <c r="C414" s="2" t="s">
        <v>15</v>
      </c>
      <c r="D414" s="3" t="str">
        <f>GetFirstLettersOfAcronym(B414)</f>
        <v>Trgo</v>
      </c>
      <c r="E414" s="3" t="str">
        <f xml:space="preserve"> CONCATENATE("map.add(new MatchingMnemonic(", CHAR(34), D414,  CHAR(34), ", ", "new MatchingMnemonicDetail(", CHAR(34), B414, CHAR(34), ", ", CHAR(34), C414, CHAR(34),")));")</f>
        <v>map.add(new MatchingMnemonic("Trgo", new MatchingMnemonicDetail("The relief goes on", "Allegra")));</v>
      </c>
    </row>
    <row r="415" spans="1:5" x14ac:dyDescent="0.25">
      <c r="A415" s="2" t="s">
        <v>289</v>
      </c>
      <c r="B415" s="2" t="str">
        <f>SUBSTITUTE(SUBSTITUTE(SUBSTITUTE(SUBSTITUTE(SUBSTITUTE(SUBSTITUTE(A415,"""",""), "“", ""),  "”", ""), ".", ""), "–", ""), "‘", "")</f>
        <v>The relentless pursuit of perfection</v>
      </c>
      <c r="C415" s="2" t="s">
        <v>290</v>
      </c>
      <c r="D415" s="3" t="str">
        <f>GetFirstLettersOfAcronym(B415)</f>
        <v>Trpop</v>
      </c>
      <c r="E415" s="3" t="str">
        <f xml:space="preserve"> CONCATENATE("map.add(new MatchingMnemonic(", CHAR(34), D415,  CHAR(34), ", ", "new MatchingMnemonicDetail(", CHAR(34), B415, CHAR(34), ", ", CHAR(34), C415, CHAR(34),")));")</f>
        <v>map.add(new MatchingMnemonic("Trpop", new MatchingMnemonicDetail("The relentless pursuit of perfection", "Lexus")));</v>
      </c>
    </row>
    <row r="416" spans="1:5" x14ac:dyDescent="0.25">
      <c r="A416" s="2" t="s">
        <v>268</v>
      </c>
      <c r="B416" s="2" t="str">
        <f>SUBSTITUTE(SUBSTITUTE(SUBSTITUTE(SUBSTITUTE(SUBSTITUTE(SUBSTITUTE(A416,"""",""), "“", ""),  "”", ""), ".", ""), "–", ""), "‘", "")</f>
        <v>The right relationship is everything</v>
      </c>
      <c r="C416" s="2" t="s">
        <v>269</v>
      </c>
      <c r="D416" s="3" t="str">
        <f>GetFirstLettersOfAcronym(B416)</f>
        <v>Trrie</v>
      </c>
      <c r="E416" s="3" t="str">
        <f xml:space="preserve"> CONCATENATE("map.add(new MatchingMnemonic(", CHAR(34), D416,  CHAR(34), ", ", "new MatchingMnemonicDetail(", CHAR(34), B416, CHAR(34), ", ", CHAR(34), C416, CHAR(34),")));")</f>
        <v>map.add(new MatchingMnemonic("Trrie", new MatchingMnemonicDetail("The right relationship is everything", "JPMorgan Chase Bank")));</v>
      </c>
    </row>
    <row r="417" spans="1:5" x14ac:dyDescent="0.25">
      <c r="A417" s="4" t="s">
        <v>2</v>
      </c>
      <c r="B417" s="2" t="str">
        <f>SUBSTITUTE(SUBSTITUTE(SUBSTITUTE(SUBSTITUTE(SUBSTITUTE(SUBSTITUTE(A417,"""",""), "“", ""),  "”", ""), ".", ""), "–", ""), "‘", "")</f>
        <v>The road will never be the same</v>
      </c>
      <c r="C417" s="4" t="s">
        <v>3</v>
      </c>
      <c r="D417" s="3" t="str">
        <f>GetFirstLettersOfAcronym(B417)</f>
        <v>Trwnbts</v>
      </c>
      <c r="E417" s="3" t="str">
        <f xml:space="preserve"> CONCATENATE("map.add(new MatchingMnemonic(", CHAR(34), D417,  CHAR(34), ", ", "new MatchingMnemonicDetail(", CHAR(34), B417, CHAR(34), ", ", CHAR(34), C417, CHAR(34),")));")</f>
        <v>map.add(new MatchingMnemonic("Trwnbts", new MatchingMnemonicDetail("The road will never be the same", "Acura")));</v>
      </c>
    </row>
    <row r="418" spans="1:5" x14ac:dyDescent="0.25">
      <c r="A418" t="s">
        <v>842</v>
      </c>
      <c r="B418" s="2" t="str">
        <f>SUBSTITUTE(SUBSTITUTE(SUBSTITUTE(SUBSTITUTE(SUBSTITUTE(SUBSTITUTE(TRIM(A418),"""",""), "“", ""),  "”", ""), ".", ""), "–", ""), "‘", "")</f>
        <v>Think Small</v>
      </c>
      <c r="C418" t="s">
        <v>563</v>
      </c>
      <c r="D418" s="3" t="str">
        <f>GetFirstLettersOfAcronym(B418)</f>
        <v>TS</v>
      </c>
      <c r="E418" s="3" t="str">
        <f xml:space="preserve"> CONCATENATE("map.add(new MatchingMnemonic(", CHAR(34), D418,  CHAR(34), ", ", "new MatchingMnemonicDetail(", CHAR(34), B418, CHAR(34), ", ", CHAR(34), C418, CHAR(34),")));")</f>
        <v>map.add(new MatchingMnemonic("TS", new MatchingMnemonicDetail("Think Small", "Volkswagen")));</v>
      </c>
    </row>
    <row r="419" spans="1:5" x14ac:dyDescent="0.25">
      <c r="A419" s="4" t="s">
        <v>127</v>
      </c>
      <c r="B419" s="2" t="str">
        <f>SUBSTITUTE(SUBSTITUTE(SUBSTITUTE(SUBSTITUTE(SUBSTITUTE(SUBSTITUTE(A419,"""",""), "“", ""),  "”", ""), ".", ""), "–", ""), "‘", "")</f>
        <v>The silver bullet</v>
      </c>
      <c r="C419" s="4" t="s">
        <v>128</v>
      </c>
      <c r="D419" s="3" t="str">
        <f>GetFirstLettersOfAcronym(B419)</f>
        <v>Tsb</v>
      </c>
      <c r="E419" s="3" t="str">
        <f xml:space="preserve"> CONCATENATE("map.add(new MatchingMnemonic(", CHAR(34), D419,  CHAR(34), ", ", "new MatchingMnemonicDetail(", CHAR(34), B419, CHAR(34), ", ", CHAR(34), C419, CHAR(34),")));")</f>
        <v>map.add(new MatchingMnemonic("Tsb", new MatchingMnemonicDetail("The silver bullet", "Coors")));</v>
      </c>
    </row>
    <row r="420" spans="1:5" x14ac:dyDescent="0.25">
      <c r="A420" s="2" t="s">
        <v>119</v>
      </c>
      <c r="B420" s="2" t="str">
        <f>SUBSTITUTE(SUBSTITUTE(SUBSTITUTE(SUBSTITUTE(SUBSTITUTE(SUBSTITUTE(A420,"""",""), "“", ""),  "”", ""), ".", ""), "–", ""), "‘", "")</f>
        <v>The source for computing and technology</v>
      </c>
      <c r="C420" s="2" t="s">
        <v>120</v>
      </c>
      <c r="D420" s="3" t="str">
        <f>GetFirstLettersOfAcronym(B420)</f>
        <v>Tsfcat</v>
      </c>
      <c r="E420" s="3" t="str">
        <f xml:space="preserve"> CONCATENATE("map.add(new MatchingMnemonic(", CHAR(34), D420,  CHAR(34), ", ", "new MatchingMnemonicDetail(", CHAR(34), B420, CHAR(34), ", ", CHAR(34), C420, CHAR(34),")));")</f>
        <v>map.add(new MatchingMnemonic("Tsfcat", new MatchingMnemonicDetail("The source for computing and technology", "CNET")));</v>
      </c>
    </row>
    <row r="421" spans="1:5" x14ac:dyDescent="0.25">
      <c r="A421" t="s">
        <v>767</v>
      </c>
      <c r="B421" s="2" t="str">
        <f>SUBSTITUTE(SUBSTITUTE(SUBSTITUTE(SUBSTITUTE(SUBSTITUTE(SUBSTITUTE(TRIM(A421),"""",""), "“", ""),  "”", ""), ".", ""), "–", ""), "‘", "")</f>
        <v>Tastes so good cats ask for it by name</v>
      </c>
      <c r="C421" t="s">
        <v>323</v>
      </c>
      <c r="D421" s="3" t="str">
        <f>GetFirstLettersOfAcronym(B421)</f>
        <v>Tsgcafibn</v>
      </c>
      <c r="E421" s="3" t="str">
        <f xml:space="preserve"> CONCATENATE("map.add(new MatchingMnemonic(", CHAR(34), D421,  CHAR(34), ", ", "new MatchingMnemonicDetail(", CHAR(34), B421, CHAR(34), ", ", CHAR(34), C421, CHAR(34),")));")</f>
        <v>map.add(new MatchingMnemonic("Tsgcafibn", new MatchingMnemonicDetail("Tastes so good cats ask for it by name", "Meow Mix")));</v>
      </c>
    </row>
    <row r="422" spans="1:5" x14ac:dyDescent="0.25">
      <c r="A422" s="4" t="s">
        <v>530</v>
      </c>
      <c r="B422" s="2" t="str">
        <f>SUBSTITUTE(SUBSTITUTE(SUBSTITUTE(SUBSTITUTE(SUBSTITUTE(SUBSTITUTE(A422,"""",""), "“", ""),  "”", ""), ".", ""), "–", ""), "‘", "")</f>
        <v>The spirit of 76</v>
      </c>
      <c r="C422" s="4" t="s">
        <v>531</v>
      </c>
      <c r="D422" s="3" t="str">
        <f>GetFirstLettersOfAcronym(B422)</f>
        <v>Tso7</v>
      </c>
      <c r="E422" s="3" t="str">
        <f xml:space="preserve"> CONCATENATE("map.add(new MatchingMnemonic(", CHAR(34), D422,  CHAR(34), ", ", "new MatchingMnemonicDetail(", CHAR(34), B422, CHAR(34), ", ", CHAR(34), C422, CHAR(34),")));")</f>
        <v>map.add(new MatchingMnemonic("Tso7", new MatchingMnemonicDetail("The spirit of 76", "Unocal")));</v>
      </c>
    </row>
    <row r="423" spans="1:5" x14ac:dyDescent="0.25">
      <c r="A423" s="3" t="s">
        <v>734</v>
      </c>
      <c r="B423" s="2" t="str">
        <f>SUBSTITUTE(SUBSTITUTE(SUBSTITUTE(SUBSTITUTE(SUBSTITUTE(SUBSTITUTE(A423,"""",""), "“", ""),  "”", ""), ".", ""), "–", ""), "‘", "")</f>
        <v xml:space="preserve"> Twist the cap to refreshment</v>
      </c>
      <c r="C423" s="2" t="s">
        <v>124</v>
      </c>
      <c r="D423" s="3" t="str">
        <f>GetFirstLettersOfAcronym(B423)</f>
        <v>Ttctr</v>
      </c>
      <c r="E423" s="3" t="str">
        <f xml:space="preserve"> CONCATENATE("map.add(new MatchingMnemonic(", CHAR(34), D423,  CHAR(34), ", ", "new MatchingMnemonicDetail(", CHAR(34), B423, CHAR(34), ", ", CHAR(34), C423, CHAR(34),")));")</f>
        <v>map.add(new MatchingMnemonic("Ttctr", new MatchingMnemonicDetail(" Twist the cap to refreshment", "Coca-Cola")));</v>
      </c>
    </row>
    <row r="424" spans="1:5" x14ac:dyDescent="0.25">
      <c r="A424" s="4" t="s">
        <v>526</v>
      </c>
      <c r="B424" s="2" t="str">
        <f>SUBSTITUTE(SUBSTITUTE(SUBSTITUTE(SUBSTITUTE(SUBSTITUTE(SUBSTITUTE(A424,"""",""), "“", ""),  "”", ""), ".", ""), "–", ""), "‘", "")</f>
        <v>Time to fly</v>
      </c>
      <c r="C424" s="4" t="s">
        <v>527</v>
      </c>
      <c r="D424" s="3" t="str">
        <f>GetFirstLettersOfAcronym(B424)</f>
        <v>Ttf</v>
      </c>
      <c r="E424" s="3" t="str">
        <f xml:space="preserve"> CONCATENATE("map.add(new MatchingMnemonic(", CHAR(34), D424,  CHAR(34), ", ", "new MatchingMnemonicDetail(", CHAR(34), B424, CHAR(34), ", ", CHAR(34), C424, CHAR(34),")));")</f>
        <v>map.add(new MatchingMnemonic("Ttf", new MatchingMnemonicDetail("Time to fly", "United Airlines")));</v>
      </c>
    </row>
    <row r="425" spans="1:5" x14ac:dyDescent="0.25">
      <c r="A425" s="2" t="s">
        <v>546</v>
      </c>
      <c r="B425" s="2" t="str">
        <f>SUBSTITUTE(SUBSTITUTE(SUBSTITUTE(SUBSTITUTE(SUBSTITUTE(SUBSTITUTE(A425,"""",""), "“", ""),  "”", ""), ".", ""), "–", ""), "‘", "")</f>
        <v>The toughest job you’ll ever love</v>
      </c>
      <c r="C425" s="2" t="s">
        <v>547</v>
      </c>
      <c r="D425" s="3" t="str">
        <f>GetFirstLettersOfAcronym(B425)</f>
        <v>Ttjyel</v>
      </c>
      <c r="E425" s="3" t="str">
        <f xml:space="preserve"> CONCATENATE("map.add(new MatchingMnemonic(", CHAR(34), D425,  CHAR(34), ", ", "new MatchingMnemonicDetail(", CHAR(34), B425, CHAR(34), ", ", CHAR(34), C425, CHAR(34),")));")</f>
        <v>map.add(new MatchingMnemonic("Ttjyel", new MatchingMnemonicDetail("The toughest job you’ll ever love", "U.S. Peace Corps")));</v>
      </c>
    </row>
    <row r="426" spans="1:5" x14ac:dyDescent="0.25">
      <c r="A426" s="2" t="s">
        <v>419</v>
      </c>
      <c r="B426" s="2" t="str">
        <f>SUBSTITUTE(SUBSTITUTE(SUBSTITUTE(SUBSTITUTE(SUBSTITUTE(SUBSTITUTE(A426,"""",""), "“", ""),  "”", ""), ".", ""), "–", ""), "‘", "")</f>
        <v>Talk They’ll listen</v>
      </c>
      <c r="C426" s="2" t="s">
        <v>420</v>
      </c>
      <c r="D426" s="3" t="str">
        <f>GetFirstLettersOfAcronym(B426)</f>
        <v>TTl</v>
      </c>
      <c r="E426" s="3" t="str">
        <f xml:space="preserve"> CONCATENATE("map.add(new MatchingMnemonic(", CHAR(34), D426,  CHAR(34), ", ", "new MatchingMnemonicDetail(", CHAR(34), B426, CHAR(34), ", ", CHAR(34), C426, CHAR(34),")));")</f>
        <v>map.add(new MatchingMnemonic("TTl", new MatchingMnemonicDetail("Talk They’ll listen", "Philip Morris")));</v>
      </c>
    </row>
    <row r="427" spans="1:5" x14ac:dyDescent="0.25">
      <c r="A427" s="4" t="s">
        <v>157</v>
      </c>
      <c r="B427" s="2" t="str">
        <f>SUBSTITUTE(SUBSTITUTE(SUBSTITUTE(SUBSTITUTE(SUBSTITUTE(SUBSTITUTE(A427,"""",""), "“", ""),  "”", ""), ".", ""), "–", ""), "‘", "")</f>
        <v>Time to make the doughnuts</v>
      </c>
      <c r="C427" s="4" t="s">
        <v>158</v>
      </c>
      <c r="D427" s="3" t="str">
        <f>GetFirstLettersOfAcronym(B427)</f>
        <v>Ttmtd</v>
      </c>
      <c r="E427" s="3" t="str">
        <f xml:space="preserve"> CONCATENATE("map.add(new MatchingMnemonic(", CHAR(34), D427,  CHAR(34), ", ", "new MatchingMnemonicDetail(", CHAR(34), B427, CHAR(34), ", ", CHAR(34), C427, CHAR(34),")));")</f>
        <v>map.add(new MatchingMnemonic("Ttmtd", new MatchingMnemonicDetail("Time to make the doughnuts", "Dunkin Donuts")));</v>
      </c>
    </row>
    <row r="428" spans="1:5" x14ac:dyDescent="0.25">
      <c r="A428" s="2" t="s">
        <v>412</v>
      </c>
      <c r="B428" s="2" t="str">
        <f>SUBSTITUTE(SUBSTITUTE(SUBSTITUTE(SUBSTITUTE(SUBSTITUTE(SUBSTITUTE(A428,"""",""), "“", ""),  "”", ""), ".", ""), "–", ""), "‘", "")</f>
        <v>The taste of a new generation</v>
      </c>
      <c r="C428" s="2" t="s">
        <v>411</v>
      </c>
      <c r="D428" s="3" t="str">
        <f>GetFirstLettersOfAcronym(B428)</f>
        <v>Ttoang</v>
      </c>
      <c r="E428" s="3" t="str">
        <f xml:space="preserve"> CONCATENATE("map.add(new MatchingMnemonic(", CHAR(34), D428,  CHAR(34), ", ", "new MatchingMnemonicDetail(", CHAR(34), B428, CHAR(34), ", ", CHAR(34), C428, CHAR(34),")));")</f>
        <v>map.add(new MatchingMnemonic("Ttoang", new MatchingMnemonicDetail("The taste of a new generation", "Pepsi")));</v>
      </c>
    </row>
    <row r="429" spans="1:5" x14ac:dyDescent="0.25">
      <c r="A429" t="s">
        <v>879</v>
      </c>
      <c r="B429" s="2" t="str">
        <f>SUBSTITUTE(SUBSTITUTE(SUBSTITUTE(SUBSTITUTE(SUBSTITUTE(SUBSTITUTE(TRIM(A429),"""",""), "“", ""),  "”", ""), ".", ""), "–", ""), "‘", "")</f>
        <v>Taste the Rainbow</v>
      </c>
      <c r="C429" t="s">
        <v>949</v>
      </c>
      <c r="D429" s="3" t="str">
        <f>GetFirstLettersOfAcronym(B429)</f>
        <v>TtR</v>
      </c>
      <c r="E429" s="3" t="str">
        <f xml:space="preserve"> CONCATENATE("map.add(new MatchingMnemonic(", CHAR(34), D429,  CHAR(34), ", ", "new MatchingMnemonicDetail(", CHAR(34), B429, CHAR(34), ", ", CHAR(34), C429, CHAR(34),")));")</f>
        <v>map.add(new MatchingMnemonic("TtR", new MatchingMnemonicDetail("Taste the Rainbow", "Skittles")));</v>
      </c>
    </row>
    <row r="430" spans="1:5" x14ac:dyDescent="0.25">
      <c r="A430" s="2" t="s">
        <v>692</v>
      </c>
      <c r="B430" s="2" t="str">
        <f>SUBSTITUTE(SUBSTITUTE(SUBSTITUTE(SUBSTITUTE(SUBSTITUTE(SUBSTITUTE(A430,"""",""), "“", ""),  "”", ""), ".", ""), "–", ""), "‘", "")</f>
        <v>Tum, tum, tum, tum, Tums</v>
      </c>
      <c r="C430" s="2" t="s">
        <v>693</v>
      </c>
      <c r="D430" s="3" t="str">
        <f>GetFirstLettersOfAcronym(B430)</f>
        <v>TtttT</v>
      </c>
      <c r="E430" s="3" t="str">
        <f xml:space="preserve"> CONCATENATE("map.add(new MatchingMnemonic(", CHAR(34), D430,  CHAR(34), ", ", "new MatchingMnemonicDetail(", CHAR(34), B430, CHAR(34), ", ", CHAR(34), C430, CHAR(34),")));")</f>
        <v>map.add(new MatchingMnemonic("TtttT", new MatchingMnemonicDetail("Tum, tum, tum, tum, Tums", "Tums")));</v>
      </c>
    </row>
    <row r="431" spans="1:5" x14ac:dyDescent="0.25">
      <c r="A431" s="4" t="s">
        <v>464</v>
      </c>
      <c r="B431" s="2" t="str">
        <f>SUBSTITUTE(SUBSTITUTE(SUBSTITUTE(SUBSTITUTE(SUBSTITUTE(SUBSTITUTE(A431,"""",""), "“", ""),  "”", ""), ".", ""), "–", ""), "‘", "")</f>
        <v>The uncola</v>
      </c>
      <c r="C431" s="4" t="s">
        <v>465</v>
      </c>
      <c r="D431" s="3" t="str">
        <f>GetFirstLettersOfAcronym(B431)</f>
        <v>Tu</v>
      </c>
      <c r="E431" s="3" t="str">
        <f xml:space="preserve"> CONCATENATE("map.add(new MatchingMnemonic(", CHAR(34), D431,  CHAR(34), ", ", "new MatchingMnemonicDetail(", CHAR(34), B431, CHAR(34), ", ", CHAR(34), C431, CHAR(34),")));")</f>
        <v>map.add(new MatchingMnemonic("Tu", new MatchingMnemonicDetail("The uncola", "7-Up")));</v>
      </c>
    </row>
    <row r="432" spans="1:5" x14ac:dyDescent="0.25">
      <c r="A432" s="4" t="s">
        <v>58</v>
      </c>
      <c r="B432" s="2" t="str">
        <f>SUBSTITUTE(SUBSTITUTE(SUBSTITUTE(SUBSTITUTE(SUBSTITUTE(SUBSTITUTE(A432,"""",""), "“", ""),  "”", ""), ".", ""), "–", ""), "‘", "")</f>
        <v>The ultimate driving machine</v>
      </c>
      <c r="C432" s="4" t="s">
        <v>57</v>
      </c>
      <c r="D432" s="3" t="str">
        <f>GetFirstLettersOfAcronym(B432)</f>
        <v>Tudm</v>
      </c>
      <c r="E432" s="3" t="str">
        <f xml:space="preserve"> CONCATENATE("map.add(new MatchingMnemonic(", CHAR(34), D432,  CHAR(34), ", ", "new MatchingMnemonicDetail(", CHAR(34), B432, CHAR(34), ", ", CHAR(34), C432, CHAR(34),")));")</f>
        <v>map.add(new MatchingMnemonic("Tudm", new MatchingMnemonicDetail("The ultimate driving machine", "BMW")));</v>
      </c>
    </row>
    <row r="433" spans="1:5" x14ac:dyDescent="0.25">
      <c r="A433" s="2" t="s">
        <v>486</v>
      </c>
      <c r="B433" s="2" t="str">
        <f>SUBSTITUTE(SUBSTITUTE(SUBSTITUTE(SUBSTITUTE(SUBSTITUTE(SUBSTITUTE(A433,"""",""), "“", ""),  "”", ""), ".", ""), "–", ""), "‘", "")</f>
        <v>That was easy</v>
      </c>
      <c r="C433" s="2" t="s">
        <v>487</v>
      </c>
      <c r="D433" s="3" t="str">
        <f>GetFirstLettersOfAcronym(B433)</f>
        <v>Twe</v>
      </c>
      <c r="E433" s="3" t="str">
        <f xml:space="preserve"> CONCATENATE("map.add(new MatchingMnemonic(", CHAR(34), D433,  CHAR(34), ", ", "new MatchingMnemonicDetail(", CHAR(34), B433, CHAR(34), ", ", CHAR(34), C433, CHAR(34),")));")</f>
        <v>map.add(new MatchingMnemonic("Twe", new MatchingMnemonicDetail("That was easy", "Staples")));</v>
      </c>
    </row>
    <row r="434" spans="1:5" x14ac:dyDescent="0.25">
      <c r="A434" s="2" t="s">
        <v>70</v>
      </c>
      <c r="B434" s="2" t="str">
        <f>SUBSTITUTE(SUBSTITUTE(SUBSTITUTE(SUBSTITUTE(SUBSTITUTE(SUBSTITUTE(A434,"""",""), "“", ""),  "”", ""), ".", ""), "–", ""), "‘", "")</f>
        <v>The world’s favourite airline</v>
      </c>
      <c r="C434" s="2" t="s">
        <v>69</v>
      </c>
      <c r="D434" s="3" t="str">
        <f>GetFirstLettersOfAcronym(B434)</f>
        <v>Twfa</v>
      </c>
      <c r="E434" s="3" t="str">
        <f xml:space="preserve"> CONCATENATE("map.add(new MatchingMnemonic(", CHAR(34), D434,  CHAR(34), ", ", "new MatchingMnemonicDetail(", CHAR(34), B434, CHAR(34), ", ", CHAR(34), C434, CHAR(34),")));")</f>
        <v>map.add(new MatchingMnemonic("Twfa", new MatchingMnemonicDetail("The world’s favourite airline", "British Airways")));</v>
      </c>
    </row>
    <row r="435" spans="1:5" x14ac:dyDescent="0.25">
      <c r="A435" t="s">
        <v>858</v>
      </c>
      <c r="B435" s="2" t="str">
        <f>SUBSTITUTE(SUBSTITUTE(SUBSTITUTE(SUBSTITUTE(SUBSTITUTE(SUBSTITUTE(TRIM(A435),"""",""), "“", ""),  "”", ""), ".", ""), "–", ""), "‘", "")</f>
        <v>The world’s local bank</v>
      </c>
      <c r="C435" t="s">
        <v>908</v>
      </c>
      <c r="D435" s="3" t="str">
        <f>GetFirstLettersOfAcronym(B435)</f>
        <v>Twlb</v>
      </c>
      <c r="E435" s="3" t="str">
        <f xml:space="preserve"> CONCATENATE("map.add(new MatchingMnemonic(", CHAR(34), D435,  CHAR(34), ", ", "new MatchingMnemonicDetail(", CHAR(34), B435, CHAR(34), ", ", CHAR(34), C435, CHAR(34),")));")</f>
        <v>map.add(new MatchingMnemonic("Twlb", new MatchingMnemonicDetail("The world’s local bank", "HSBC")));</v>
      </c>
    </row>
    <row r="436" spans="1:5" x14ac:dyDescent="0.25">
      <c r="A436" s="4" t="s">
        <v>40</v>
      </c>
      <c r="B436" s="2" t="str">
        <f>SUBSTITUTE(SUBSTITUTE(SUBSTITUTE(SUBSTITUTE(SUBSTITUTE(SUBSTITUTE(A436,"""",""), "“", ""),  "”", ""), ".", ""), "–", ""), "‘", "")</f>
        <v>The world’s networking company</v>
      </c>
      <c r="C436" s="4" t="s">
        <v>39</v>
      </c>
      <c r="D436" s="3" t="str">
        <f>GetFirstLettersOfAcronym(B436)</f>
        <v>Twnc</v>
      </c>
      <c r="E436" s="3" t="str">
        <f xml:space="preserve"> CONCATENATE("map.add(new MatchingMnemonic(", CHAR(34), D436,  CHAR(34), ", ", "new MatchingMnemonicDetail(", CHAR(34), B436, CHAR(34), ", ", CHAR(34), C436, CHAR(34),")));")</f>
        <v>map.add(new MatchingMnemonic("Twnc", new MatchingMnemonicDetail("The world’s networking company", "AT&amp;T")));</v>
      </c>
    </row>
    <row r="437" spans="1:5" x14ac:dyDescent="0.25">
      <c r="A437" s="4" t="s">
        <v>164</v>
      </c>
      <c r="B437" s="2" t="str">
        <f>SUBSTITUTE(SUBSTITUTE(SUBSTITUTE(SUBSTITUTE(SUBSTITUTE(SUBSTITUTE(A437,"""",""), "“", ""),  "”", ""), ".", ""), "–", ""), "‘", "")</f>
        <v>The world’s online marketplace</v>
      </c>
      <c r="C437" s="4" t="s">
        <v>163</v>
      </c>
      <c r="D437" s="3" t="str">
        <f>GetFirstLettersOfAcronym(B437)</f>
        <v>Twom</v>
      </c>
      <c r="E437" s="3" t="str">
        <f xml:space="preserve"> CONCATENATE("map.add(new MatchingMnemonic(", CHAR(34), D437,  CHAR(34), ", ", "new MatchingMnemonicDetail(", CHAR(34), B437, CHAR(34), ", ", CHAR(34), C437, CHAR(34),")));")</f>
        <v>map.add(new MatchingMnemonic("Twom", new MatchingMnemonicDetail("The world’s online marketplace", "eBay")));</v>
      </c>
    </row>
    <row r="438" spans="1:5" x14ac:dyDescent="0.25">
      <c r="A438" s="4" t="s">
        <v>183</v>
      </c>
      <c r="B438" s="2" t="str">
        <f>SUBSTITUTE(SUBSTITUTE(SUBSTITUTE(SUBSTITUTE(SUBSTITUTE(SUBSTITUTE(A438,"""",""), "“", ""),  "”", ""), ".", ""), "–", ""), "‘", "")</f>
        <v>The world on time</v>
      </c>
      <c r="C438" s="4" t="s">
        <v>182</v>
      </c>
      <c r="D438" s="3" t="str">
        <f>GetFirstLettersOfAcronym(B438)</f>
        <v>Twot</v>
      </c>
      <c r="E438" s="3" t="str">
        <f xml:space="preserve"> CONCATENATE("map.add(new MatchingMnemonic(", CHAR(34), D438,  CHAR(34), ", ", "new MatchingMnemonicDetail(", CHAR(34), B438, CHAR(34), ", ", CHAR(34), C438, CHAR(34),")));")</f>
        <v>map.add(new MatchingMnemonic("Twot", new MatchingMnemonicDetail("The world on time", "FedEx")));</v>
      </c>
    </row>
    <row r="439" spans="1:5" x14ac:dyDescent="0.25">
      <c r="A439" s="4" t="s">
        <v>68</v>
      </c>
      <c r="B439" s="2" t="str">
        <f>SUBSTITUTE(SUBSTITUTE(SUBSTITUTE(SUBSTITUTE(SUBSTITUTE(SUBSTITUTE(A439,"""",""), "“", ""),  "”", ""), ".", ""), "–", ""), "‘", "")</f>
        <v>The way to fly</v>
      </c>
      <c r="C439" s="4" t="s">
        <v>69</v>
      </c>
      <c r="D439" s="3" t="str">
        <f>GetFirstLettersOfAcronym(B439)</f>
        <v>Twtf</v>
      </c>
      <c r="E439" s="3" t="str">
        <f xml:space="preserve"> CONCATENATE("map.add(new MatchingMnemonic(", CHAR(34), D439,  CHAR(34), ", ", "new MatchingMnemonicDetail(", CHAR(34), B439, CHAR(34), ", ", CHAR(34), C439, CHAR(34),")));")</f>
        <v>map.add(new MatchingMnemonic("Twtf", new MatchingMnemonicDetail("The way to fly", "British Airways")));</v>
      </c>
    </row>
    <row r="440" spans="1:5" x14ac:dyDescent="0.25">
      <c r="A440" s="4" t="s">
        <v>206</v>
      </c>
      <c r="B440" s="2" t="str">
        <f>SUBSTITUTE(SUBSTITUTE(SUBSTITUTE(SUBSTITUTE(SUBSTITUTE(SUBSTITUTE(A440,"""",""), "“", ""),  "”", ""), ".", ""), "–", ""), "‘", "")</f>
        <v>Two words to the wise</v>
      </c>
      <c r="C440" s="4" t="s">
        <v>207</v>
      </c>
      <c r="D440" s="3" t="str">
        <f>GetFirstLettersOfAcronym(B440)</f>
        <v>Twttw</v>
      </c>
      <c r="E440" s="3" t="str">
        <f xml:space="preserve"> CONCATENATE("map.add(new MatchingMnemonic(", CHAR(34), D440,  CHAR(34), ", ", "new MatchingMnemonicDetail(", CHAR(34), B440, CHAR(34), ", ", CHAR(34), C440, CHAR(34),")));")</f>
        <v>map.add(new MatchingMnemonic("Twttw", new MatchingMnemonicDetail("Two words to the wise", "Georgia Federal")));</v>
      </c>
    </row>
    <row r="441" spans="1:5" x14ac:dyDescent="0.25">
      <c r="A441" s="4" t="s">
        <v>47</v>
      </c>
      <c r="B441" s="2" t="str">
        <f>SUBSTITUTE(SUBSTITUTE(SUBSTITUTE(SUBSTITUTE(SUBSTITUTE(SUBSTITUTE(A441,"""",""), "“", ""),  "”", ""), ".", ""), "–", ""), "‘", "")</f>
        <v>Thank you for your support</v>
      </c>
      <c r="C441" s="4" t="s">
        <v>48</v>
      </c>
      <c r="D441" s="3" t="str">
        <f>GetFirstLettersOfAcronym(B441)</f>
        <v>Tyfys</v>
      </c>
      <c r="E441" s="3" t="str">
        <f xml:space="preserve"> CONCATENATE("map.add(new MatchingMnemonic(", CHAR(34), D441,  CHAR(34), ", ", "new MatchingMnemonicDetail(", CHAR(34), B441, CHAR(34), ", ", CHAR(34), C441, CHAR(34),")));")</f>
        <v>map.add(new MatchingMnemonic("Tyfys", new MatchingMnemonicDetail("Thank you for your support", "Bartles &amp; Jaymes")));</v>
      </c>
    </row>
    <row r="442" spans="1:5" x14ac:dyDescent="0.25">
      <c r="A442" s="2" t="s">
        <v>681</v>
      </c>
      <c r="B442" s="2" t="str">
        <f>SUBSTITUTE(SUBSTITUTE(SUBSTITUTE(SUBSTITUTE(SUBSTITUTE(SUBSTITUTE(A442,"""",""), "“", ""),  "”", ""), ".", ""), "–", ""), "‘", "")</f>
        <v>Uh, oh, Spaghettios</v>
      </c>
      <c r="C442" s="2" t="s">
        <v>682</v>
      </c>
      <c r="D442" s="3" t="str">
        <f>GetFirstLettersOfAcronym(B442)</f>
        <v>UoS</v>
      </c>
      <c r="E442" s="3" t="str">
        <f xml:space="preserve"> CONCATENATE("map.add(new MatchingMnemonic(", CHAR(34), D442,  CHAR(34), ", ", "new MatchingMnemonicDetail(", CHAR(34), B442, CHAR(34), ", ", CHAR(34), C442, CHAR(34),")));")</f>
        <v>map.add(new MatchingMnemonic("UoS", new MatchingMnemonicDetail("Uh, oh, Spaghettios", "Spaghettios")));</v>
      </c>
    </row>
    <row r="443" spans="1:5" x14ac:dyDescent="0.25">
      <c r="A443" t="s">
        <v>795</v>
      </c>
      <c r="B443" s="2" t="str">
        <f>SUBSTITUTE(SUBSTITUTE(SUBSTITUTE(SUBSTITUTE(SUBSTITUTE(SUBSTITUTE(TRIM(A443),"""",""), "“", ""),  "”", ""), ".", ""), "–", ""), "‘", "")</f>
        <v>Vorsprung Durch Technik</v>
      </c>
      <c r="C443" t="s">
        <v>42</v>
      </c>
      <c r="D443" s="3" t="str">
        <f>GetFirstLettersOfAcronym(B443)</f>
        <v>VDT</v>
      </c>
      <c r="E443" s="3" t="str">
        <f xml:space="preserve"> CONCATENATE("map.add(new MatchingMnemonic(", CHAR(34), D443,  CHAR(34), ", ", "new MatchingMnemonicDetail(", CHAR(34), B443, CHAR(34), ", ", CHAR(34), C443, CHAR(34),")));")</f>
        <v>map.add(new MatchingMnemonic("VDT", new MatchingMnemonicDetail("Vorsprung Durch Technik", "Audi")));</v>
      </c>
    </row>
    <row r="444" spans="1:5" x14ac:dyDescent="0.25">
      <c r="A444" s="2" t="s">
        <v>561</v>
      </c>
      <c r="B444" s="2" t="str">
        <f>SUBSTITUTE(SUBSTITUTE(SUBSTITUTE(SUBSTITUTE(SUBSTITUTE(SUBSTITUTE(A444,"""",""), "“", ""),  "”", ""), ".", ""), "–", ""), "‘", "")</f>
        <v>Visine gets the red out</v>
      </c>
      <c r="C444" s="2" t="s">
        <v>562</v>
      </c>
      <c r="D444" s="3" t="str">
        <f>GetFirstLettersOfAcronym(B444)</f>
        <v>Vgtro</v>
      </c>
      <c r="E444" s="3" t="str">
        <f xml:space="preserve"> CONCATENATE("map.add(new MatchingMnemonic(", CHAR(34), D444,  CHAR(34), ", ", "new MatchingMnemonicDetail(", CHAR(34), B444, CHAR(34), ", ", CHAR(34), C444, CHAR(34),")));")</f>
        <v>map.add(new MatchingMnemonic("Vgtro", new MatchingMnemonicDetail("Visine gets the red out", "Visine")));</v>
      </c>
    </row>
    <row r="445" spans="1:5" x14ac:dyDescent="0.25">
      <c r="A445" s="2" t="s">
        <v>557</v>
      </c>
      <c r="B445" s="2" t="str">
        <f>SUBSTITUTE(SUBSTITUTE(SUBSTITUTE(SUBSTITUTE(SUBSTITUTE(SUBSTITUTE(A445,"""",""), "“", ""),  "”", ""), ".", ""), "–", ""), "‘", "")</f>
        <v>Virginia is for lovers</v>
      </c>
      <c r="C445" s="2" t="s">
        <v>558</v>
      </c>
      <c r="D445" s="3" t="str">
        <f>GetFirstLettersOfAcronym(B445)</f>
        <v>Vifl</v>
      </c>
      <c r="E445" s="3" t="str">
        <f xml:space="preserve"> CONCATENATE("map.add(new MatchingMnemonic(", CHAR(34), D445,  CHAR(34), ", ", "new MatchingMnemonicDetail(", CHAR(34), B445, CHAR(34), ", ", CHAR(34), C445, CHAR(34),")));")</f>
        <v>map.add(new MatchingMnemonic("Vifl", new MatchingMnemonicDetail("Virginia is for lovers", "The Virginia Tourism Commission")));</v>
      </c>
    </row>
    <row r="446" spans="1:5" x14ac:dyDescent="0.25">
      <c r="A446" s="4" t="s">
        <v>71</v>
      </c>
      <c r="B446" s="2" t="str">
        <f>SUBSTITUTE(SUBSTITUTE(SUBSTITUTE(SUBSTITUTE(SUBSTITUTE(SUBSTITUTE(A446,"""",""), "“", ""),  "”", ""), ".", ""), "–", ""), "‘", "")</f>
        <v>Wassup?!</v>
      </c>
      <c r="C446" s="4" t="s">
        <v>72</v>
      </c>
      <c r="D446" s="3" t="str">
        <f>GetFirstLettersOfAcronym(B446)</f>
        <v>W</v>
      </c>
      <c r="E446" s="3" t="str">
        <f xml:space="preserve"> CONCATENATE("map.add(new MatchingMnemonic(", CHAR(34), D446,  CHAR(34), ", ", "new MatchingMnemonicDetail(", CHAR(34), B446, CHAR(34), ", ", CHAR(34), C446, CHAR(34),")));")</f>
        <v>map.add(new MatchingMnemonic("W", new MatchingMnemonicDetail("Wassup?!", "Budweiser")));</v>
      </c>
    </row>
    <row r="447" spans="1:5" x14ac:dyDescent="0.25">
      <c r="A447" t="s">
        <v>775</v>
      </c>
      <c r="B447" s="2" t="str">
        <f>SUBSTITUTE(SUBSTITUTE(SUBSTITUTE(SUBSTITUTE(SUBSTITUTE(SUBSTITUTE(TRIM(A447),"""",""), "“", ""),  "”", ""), ".", ""), "–", ""), "‘", "")</f>
        <v>WotalotIgot!</v>
      </c>
      <c r="C447" t="s">
        <v>776</v>
      </c>
      <c r="D447" s="3" t="str">
        <f>GetFirstLettersOfAcronym(B447)</f>
        <v>W</v>
      </c>
      <c r="E447" s="3" t="str">
        <f xml:space="preserve"> CONCATENATE("map.add(new MatchingMnemonic(", CHAR(34), D447,  CHAR(34), ", ", "new MatchingMnemonicDetail(", CHAR(34), B447, CHAR(34), ", ", CHAR(34), C447, CHAR(34),")));")</f>
        <v>map.add(new MatchingMnemonic("W", new MatchingMnemonicDetail("WotalotIgot!", "Smarties")));</v>
      </c>
    </row>
    <row r="448" spans="1:5" x14ac:dyDescent="0.25">
      <c r="A448" t="s">
        <v>765</v>
      </c>
      <c r="B448" s="2" t="str">
        <f>SUBSTITUTE(SUBSTITUTE(SUBSTITUTE(SUBSTITUTE(SUBSTITUTE(SUBSTITUTE(TRIM(A448),"""",""), "“", ""),  "”", ""), ".", ""), "–", ""), "‘", "")</f>
        <v>We all adore a Kia-Ora</v>
      </c>
      <c r="C448" t="s">
        <v>766</v>
      </c>
      <c r="D448" s="3" t="str">
        <f>GetFirstLettersOfAcronym(B448)</f>
        <v>WaaaK</v>
      </c>
      <c r="E448" s="3" t="str">
        <f xml:space="preserve"> CONCATENATE("map.add(new MatchingMnemonic(", CHAR(34), D448,  CHAR(34), ", ", "new MatchingMnemonicDetail(", CHAR(34), B448, CHAR(34), ", ", CHAR(34), C448, CHAR(34),")));")</f>
        <v>map.add(new MatchingMnemonic("WaaaK", new MatchingMnemonicDetail("We all adore a Kia-Ora", "Kia-Ora")));</v>
      </c>
    </row>
    <row r="449" spans="1:5" ht="28.5" x14ac:dyDescent="0.25">
      <c r="A449" s="4" t="s">
        <v>476</v>
      </c>
      <c r="B449" s="2" t="str">
        <f>SUBSTITUTE(SUBSTITUTE(SUBSTITUTE(SUBSTITUTE(SUBSTITUTE(SUBSTITUTE(A449,"""",""), "“", ""),  "”", ""), ".", ""), "–", ""), "‘", "")</f>
        <v>With a name like Smucker’s, it has to be good</v>
      </c>
      <c r="C449" s="4" t="s">
        <v>477</v>
      </c>
      <c r="D449" s="3" t="str">
        <f>GetFirstLettersOfAcronym(B449)</f>
        <v>WanlSihtbg</v>
      </c>
      <c r="E449" s="3" t="str">
        <f xml:space="preserve"> CONCATENATE("map.add(new MatchingMnemonic(", CHAR(34), D449,  CHAR(34), ", ", "new MatchingMnemonicDetail(", CHAR(34), B449, CHAR(34), ", ", CHAR(34), C449, CHAR(34),")));")</f>
        <v>map.add(new MatchingMnemonic("WanlSihtbg", new MatchingMnemonicDetail("With a name like Smucker’s, it has to be good", "Smucker’s")));</v>
      </c>
    </row>
    <row r="450" spans="1:5" x14ac:dyDescent="0.25">
      <c r="A450" s="4" t="s">
        <v>236</v>
      </c>
      <c r="B450" s="2" t="str">
        <f>SUBSTITUTE(SUBSTITUTE(SUBSTITUTE(SUBSTITUTE(SUBSTITUTE(SUBSTITUTE(A450,"""",""), "“", ""),  "”", ""), ".", ""), "–", ""), "‘", "")</f>
        <v>We answer to a higher authority</v>
      </c>
      <c r="C450" s="4" t="s">
        <v>237</v>
      </c>
      <c r="D450" s="3" t="str">
        <f>GetFirstLettersOfAcronym(B450)</f>
        <v>Wataha</v>
      </c>
      <c r="E450" s="3" t="str">
        <f xml:space="preserve"> CONCATENATE("map.add(new MatchingMnemonic(", CHAR(34), D450,  CHAR(34), ", ", "new MatchingMnemonicDetail(", CHAR(34), B450, CHAR(34), ", ", CHAR(34), C450, CHAR(34),")));")</f>
        <v>map.add(new MatchingMnemonic("Wataha", new MatchingMnemonicDetail("We answer to a higher authority", "Hebrew National")));</v>
      </c>
    </row>
    <row r="451" spans="1:5" x14ac:dyDescent="0.25">
      <c r="A451" s="2" t="s">
        <v>574</v>
      </c>
      <c r="B451" s="2" t="str">
        <f>SUBSTITUTE(SUBSTITUTE(SUBSTITUTE(SUBSTITUTE(SUBSTITUTE(SUBSTITUTE(A451,"""",""), "“", ""),  "”", ""), ".", ""), "–", ""), "‘", "")</f>
        <v>Western Airlines the only way to fly</v>
      </c>
      <c r="C451" s="2" t="s">
        <v>575</v>
      </c>
      <c r="D451" s="3" t="str">
        <f>GetFirstLettersOfAcronym(B451)</f>
        <v>WAtowtf</v>
      </c>
      <c r="E451" s="3" t="str">
        <f xml:space="preserve"> CONCATENATE("map.add(new MatchingMnemonic(", CHAR(34), D451,  CHAR(34), ", ", "new MatchingMnemonicDetail(", CHAR(34), B451, CHAR(34), ", ", CHAR(34), C451, CHAR(34),")));")</f>
        <v>map.add(new MatchingMnemonic("WAtowtf", new MatchingMnemonicDetail("Western Airlines the only way to fly", "Western Airlines")));</v>
      </c>
    </row>
    <row r="452" spans="1:5" x14ac:dyDescent="0.25">
      <c r="A452" s="4" t="s">
        <v>287</v>
      </c>
      <c r="B452" s="2" t="str">
        <f>SUBSTITUTE(SUBSTITUTE(SUBSTITUTE(SUBSTITUTE(SUBSTITUTE(SUBSTITUTE(A452,"""",""), "“", ""),  "”", ""), ".", ""), "–", ""), "‘", "")</f>
        <v>When banks compete, you win</v>
      </c>
      <c r="C452" s="4" t="s">
        <v>288</v>
      </c>
      <c r="D452" s="3" t="str">
        <f>GetFirstLettersOfAcronym(B452)</f>
        <v>Wbcyw</v>
      </c>
      <c r="E452" s="3" t="str">
        <f xml:space="preserve"> CONCATENATE("map.add(new MatchingMnemonic(", CHAR(34), D452,  CHAR(34), ", ", "new MatchingMnemonicDetail(", CHAR(34), B452, CHAR(34), ", ", CHAR(34), C452, CHAR(34),")));")</f>
        <v>map.add(new MatchingMnemonic("Wbcyw", new MatchingMnemonicDetail("When banks compete, you win", "LendingTree")));</v>
      </c>
    </row>
    <row r="453" spans="1:5" x14ac:dyDescent="0.25">
      <c r="A453" t="s">
        <v>857</v>
      </c>
      <c r="B453" s="2" t="str">
        <f>SUBSTITUTE(SUBSTITUTE(SUBSTITUTE(SUBSTITUTE(SUBSTITUTE(SUBSTITUTE(TRIM(A453),"""",""), "“", ""),  "”", ""), ".", ""), "–", ""), "‘", "")</f>
        <v>We bring good things to life</v>
      </c>
      <c r="C453" t="s">
        <v>906</v>
      </c>
      <c r="D453" s="3" t="str">
        <f>GetFirstLettersOfAcronym(B453)</f>
        <v>Wbgttl</v>
      </c>
      <c r="E453" s="3" t="str">
        <f xml:space="preserve"> CONCATENATE("map.add(new MatchingMnemonic(", CHAR(34), D453,  CHAR(34), ", ", "new MatchingMnemonicDetail(", CHAR(34), B453, CHAR(34), ", ", CHAR(34), C453, CHAR(34),")));")</f>
        <v>map.add(new MatchingMnemonic("Wbgttl", new MatchingMnemonicDetail("We bring good things to life", "GE (General Electric)")));</v>
      </c>
    </row>
    <row r="454" spans="1:5" x14ac:dyDescent="0.25">
      <c r="A454" s="4" t="s">
        <v>203</v>
      </c>
      <c r="B454" s="2" t="str">
        <f>SUBSTITUTE(SUBSTITUTE(SUBSTITUTE(SUBSTITUTE(SUBSTITUTE(SUBSTITUTE(A454,"""",""), "“", ""),  "”", ""), ".", ""), "–", ""), "‘", "")</f>
        <v>We bring good things to life</v>
      </c>
      <c r="C454" s="4" t="s">
        <v>202</v>
      </c>
      <c r="D454" s="3" t="str">
        <f>GetFirstLettersOfAcronym(B454)</f>
        <v>Wbgttl</v>
      </c>
      <c r="E454" s="3" t="str">
        <f xml:space="preserve"> CONCATENATE("map.add(new MatchingMnemonic(", CHAR(34), D454,  CHAR(34), ", ", "new MatchingMnemonicDetail(", CHAR(34), B454, CHAR(34), ", ", CHAR(34), C454, CHAR(34),")));")</f>
        <v>map.add(new MatchingMnemonic("Wbgttl", new MatchingMnemonicDetail("We bring good things to life", "General Electric")));</v>
      </c>
    </row>
    <row r="455" spans="1:5" x14ac:dyDescent="0.25">
      <c r="A455" s="2" t="s">
        <v>250</v>
      </c>
      <c r="B455" s="2" t="str">
        <f>SUBSTITUTE(SUBSTITUTE(SUBSTITUTE(SUBSTITUTE(SUBSTITUTE(SUBSTITUTE(A455,"""",""), "“", ""),  "”", ""), ".", ""), "–", ""), "‘", "")</f>
        <v>We’re behind you every step of the way</v>
      </c>
      <c r="C455" s="2" t="s">
        <v>251</v>
      </c>
      <c r="D455" s="3" t="str">
        <f>GetFirstLettersOfAcronym(B455)</f>
        <v>Wbyesotw</v>
      </c>
      <c r="E455" s="3" t="str">
        <f xml:space="preserve"> CONCATENATE("map.add(new MatchingMnemonic(", CHAR(34), D455,  CHAR(34), ", ", "new MatchingMnemonicDetail(", CHAR(34), B455, CHAR(34), ", ", CHAR(34), C455, CHAR(34),")));")</f>
        <v>map.add(new MatchingMnemonic("Wbyesotw", new MatchingMnemonicDetail("We’re behind you every step of the way", "Huggies")));</v>
      </c>
    </row>
    <row r="456" spans="1:5" x14ac:dyDescent="0.25">
      <c r="A456" s="2" t="s">
        <v>532</v>
      </c>
      <c r="B456" s="2" t="str">
        <f>SUBSTITUTE(SUBSTITUTE(SUBSTITUTE(SUBSTITUTE(SUBSTITUTE(SUBSTITUTE(A456,"""",""), "“", ""),  "”", ""), ".", ""), "–", ""), "‘", "")</f>
        <v>What can Brown do for you?</v>
      </c>
      <c r="C456" s="2" t="s">
        <v>533</v>
      </c>
      <c r="D456" s="3" t="str">
        <f>GetFirstLettersOfAcronym(B456)</f>
        <v>WcBdfy</v>
      </c>
      <c r="E456" s="3" t="str">
        <f xml:space="preserve"> CONCATENATE("map.add(new MatchingMnemonic(", CHAR(34), D456,  CHAR(34), ", ", "new MatchingMnemonicDetail(", CHAR(34), B456, CHAR(34), ", ", CHAR(34), C456, CHAR(34),")));")</f>
        <v>map.add(new MatchingMnemonic("WcBdfy", new MatchingMnemonicDetail("What can Brown do for you?", "UPS")));</v>
      </c>
    </row>
    <row r="457" spans="1:5" x14ac:dyDescent="0.25">
      <c r="A457" s="2" t="s">
        <v>145</v>
      </c>
      <c r="B457" s="2" t="str">
        <f>SUBSTITUTE(SUBSTITUTE(SUBSTITUTE(SUBSTITUTE(SUBSTITUTE(SUBSTITUTE(A457,"""",""), "“", ""),  "”", ""), ".", ""), "–", ""), "‘", "")</f>
        <v>We’re cooking now</v>
      </c>
      <c r="C457" s="2" t="s">
        <v>146</v>
      </c>
      <c r="D457" s="3" t="str">
        <f>GetFirstLettersOfAcronym(B457)</f>
        <v>Wcn</v>
      </c>
      <c r="E457" s="3" t="str">
        <f xml:space="preserve"> CONCATENATE("map.add(new MatchingMnemonic(", CHAR(34), D457,  CHAR(34), ", ", "new MatchingMnemonicDetail(", CHAR(34), B457, CHAR(34), ", ", CHAR(34), C457, CHAR(34),")));")</f>
        <v>map.add(new MatchingMnemonic("Wcn", new MatchingMnemonicDetail("We’re cooking now", "Denny’s")));</v>
      </c>
    </row>
    <row r="458" spans="1:5" x14ac:dyDescent="0.25">
      <c r="A458" s="4" t="s">
        <v>334</v>
      </c>
      <c r="B458" s="2" t="str">
        <f>SUBSTITUTE(SUBSTITUTE(SUBSTITUTE(SUBSTITUTE(SUBSTITUTE(SUBSTITUTE(A458,"""",""), "“", ""),  "”", ""), ".", ""), "–", ""), "‘", "")</f>
        <v>Where do you want to go today?</v>
      </c>
      <c r="C458" s="4" t="s">
        <v>333</v>
      </c>
      <c r="D458" s="3" t="str">
        <f>GetFirstLettersOfAcronym(B458)</f>
        <v>Wdywtgt</v>
      </c>
      <c r="E458" s="3" t="str">
        <f xml:space="preserve"> CONCATENATE("map.add(new MatchingMnemonic(", CHAR(34), D458,  CHAR(34), ", ", "new MatchingMnemonicDetail(", CHAR(34), B458, CHAR(34), ", ", CHAR(34), C458, CHAR(34),")));")</f>
        <v>map.add(new MatchingMnemonic("Wdywtgt", new MatchingMnemonicDetail("Where do you want to go today?", "Microsoft")));</v>
      </c>
    </row>
    <row r="459" spans="1:5" x14ac:dyDescent="0.25">
      <c r="A459" s="2" t="s">
        <v>165</v>
      </c>
      <c r="B459" s="2" t="str">
        <f>SUBSTITUTE(SUBSTITUTE(SUBSTITUTE(SUBSTITUTE(SUBSTITUTE(SUBSTITUTE(A459,"""",""), "“", ""),  "”", ""), ".", ""), "–", ""), "‘", "")</f>
        <v>When EF Hutton talks, people listen</v>
      </c>
      <c r="C459" s="2" t="s">
        <v>166</v>
      </c>
      <c r="D459" s="3" t="str">
        <f>GetFirstLettersOfAcronym(B459)</f>
        <v>WEHtpl</v>
      </c>
      <c r="E459" s="3" t="str">
        <f xml:space="preserve"> CONCATENATE("map.add(new MatchingMnemonic(", CHAR(34), D459,  CHAR(34), ", ", "new MatchingMnemonicDetail(", CHAR(34), B459, CHAR(34), ", ", CHAR(34), C459, CHAR(34),")));")</f>
        <v>map.add(new MatchingMnemonic("WEHtpl", new MatchingMnemonicDetail("When EF Hutton talks, people listen", "EF Hutton")));</v>
      </c>
    </row>
    <row r="460" spans="1:5" x14ac:dyDescent="0.25">
      <c r="A460" s="2" t="s">
        <v>619</v>
      </c>
      <c r="B460" s="2" t="str">
        <f>SUBSTITUTE(SUBSTITUTE(SUBSTITUTE(SUBSTITUTE(SUBSTITUTE(SUBSTITUTE(A460,"""",""), "“", ""),  "”", ""), ".", ""), "–", ""), "‘", "")</f>
        <v>We’ve got a taste for you</v>
      </c>
      <c r="C460" s="2" t="s">
        <v>124</v>
      </c>
      <c r="D460" s="3" t="str">
        <f>GetFirstLettersOfAcronym(B460)</f>
        <v>Wgatfy</v>
      </c>
      <c r="E460" s="3" t="str">
        <f xml:space="preserve"> CONCATENATE("map.add(new MatchingMnemonic(", CHAR(34), D460,  CHAR(34), ", ", "new MatchingMnemonicDetail(", CHAR(34), B460, CHAR(34), ", ", CHAR(34), C460, CHAR(34),")));")</f>
        <v>map.add(new MatchingMnemonic("Wgatfy", new MatchingMnemonicDetail("We’ve got a taste for you", "Coca-Cola")));</v>
      </c>
    </row>
    <row r="461" spans="1:5" ht="28.5" x14ac:dyDescent="0.25">
      <c r="A461" s="4" t="s">
        <v>285</v>
      </c>
      <c r="B461" s="2" t="str">
        <f>SUBSTITUTE(SUBSTITUTE(SUBSTITUTE(SUBSTITUTE(SUBSTITUTE(SUBSTITUTE(A461,"""",""), "“", ""),  "”", ""), ".", ""), "–", ""), "‘", "")</f>
        <v>What happens here, stays here</v>
      </c>
      <c r="C461" s="4" t="s">
        <v>286</v>
      </c>
      <c r="D461" s="3" t="str">
        <f>GetFirstLettersOfAcronym(B461)</f>
        <v>Whhsh</v>
      </c>
      <c r="E461" s="3" t="str">
        <f xml:space="preserve"> CONCATENATE("map.add(new MatchingMnemonic(", CHAR(34), D461,  CHAR(34), ", ", "new MatchingMnemonicDetail(", CHAR(34), B461, CHAR(34), ", ", CHAR(34), C461, CHAR(34),")));")</f>
        <v>map.add(new MatchingMnemonic("Whhsh", new MatchingMnemonicDetail("What happens here, stays here", "Las Vegas Convention and Visitors Authority")));</v>
      </c>
    </row>
    <row r="462" spans="1:5" x14ac:dyDescent="0.25">
      <c r="A462" t="s">
        <v>868</v>
      </c>
      <c r="B462" s="2" t="str">
        <f>SUBSTITUTE(SUBSTITUTE(SUBSTITUTE(SUBSTITUTE(SUBSTITUTE(SUBSTITUTE(TRIM(A462),"""",""), "“", ""),  "”", ""), ".", ""), "–", ""), "‘", "")</f>
        <v>When it absolutely, positively has to be there overnight</v>
      </c>
      <c r="C462" t="s">
        <v>783</v>
      </c>
      <c r="D462" s="3" t="str">
        <f>GetFirstLettersOfAcronym(B462)</f>
        <v>Wiaphtbto</v>
      </c>
      <c r="E462" s="3" t="str">
        <f xml:space="preserve"> CONCATENATE("map.add(new MatchingMnemonic(", CHAR(34), D462,  CHAR(34), ", ", "new MatchingMnemonicDetail(", CHAR(34), B462, CHAR(34), ", ", CHAR(34), C462, CHAR(34),")));")</f>
        <v>map.add(new MatchingMnemonic("Wiaphtbto", new MatchingMnemonicDetail("When it absolutely, positively has to be there overnight", "Federal Express")));</v>
      </c>
    </row>
    <row r="463" spans="1:5" ht="28.5" x14ac:dyDescent="0.25">
      <c r="A463" s="2" t="s">
        <v>184</v>
      </c>
      <c r="B463" s="2" t="str">
        <f>SUBSTITUTE(SUBSTITUTE(SUBSTITUTE(SUBSTITUTE(SUBSTITUTE(SUBSTITUTE(A463,"""",""), "“", ""),  "”", ""), ".", ""), "–", ""), "‘", "")</f>
        <v>When it absolutely, positively has to be there overnight</v>
      </c>
      <c r="C463" s="2" t="s">
        <v>182</v>
      </c>
      <c r="D463" s="3" t="str">
        <f>GetFirstLettersOfAcronym(B463)</f>
        <v>Wiaphtbto</v>
      </c>
      <c r="E463" s="3" t="str">
        <f xml:space="preserve"> CONCATENATE("map.add(new MatchingMnemonic(", CHAR(34), D463,  CHAR(34), ", ", "new MatchingMnemonicDetail(", CHAR(34), B463, CHAR(34), ", ", CHAR(34), C463, CHAR(34),")));")</f>
        <v>map.add(new MatchingMnemonic("Wiaphtbto", new MatchingMnemonicDetail("When it absolutely, positively has to be there overnight", "FedEx")));</v>
      </c>
    </row>
    <row r="464" spans="1:5" x14ac:dyDescent="0.25">
      <c r="A464" s="2" t="s">
        <v>346</v>
      </c>
      <c r="B464" s="2" t="str">
        <f>SUBSTITUTE(SUBSTITUTE(SUBSTITUTE(SUBSTITUTE(SUBSTITUTE(SUBSTITUTE(A464,"""",""), "“", ""),  "”", ""), ".", ""), "–", ""), "‘", "")</f>
        <v>When it rains, it pours</v>
      </c>
      <c r="C464" s="2" t="s">
        <v>347</v>
      </c>
      <c r="D464" s="3" t="str">
        <f>GetFirstLettersOfAcronym(B464)</f>
        <v>Wirip</v>
      </c>
      <c r="E464" s="3" t="str">
        <f xml:space="preserve"> CONCATENATE("map.add(new MatchingMnemonic(", CHAR(34), D464,  CHAR(34), ", ", "new MatchingMnemonicDetail(", CHAR(34), B464, CHAR(34), ", ", CHAR(34), C464, CHAR(34),")));")</f>
        <v>map.add(new MatchingMnemonic("Wirip", new MatchingMnemonicDetail("When it rains, it pours", "Morton Salt")));</v>
      </c>
    </row>
    <row r="465" spans="1:5" x14ac:dyDescent="0.25">
      <c r="A465" s="4" t="s">
        <v>91</v>
      </c>
      <c r="B465" s="2" t="str">
        <f>SUBSTITUTE(SUBSTITUTE(SUBSTITUTE(SUBSTITUTE(SUBSTITUTE(SUBSTITUTE(A465,"""",""), "“", ""),  "”", ""), ".", ""), "–", ""), "‘", "")</f>
        <v>What’s in your wallet?</v>
      </c>
      <c r="C465" s="4" t="s">
        <v>92</v>
      </c>
      <c r="D465" s="3" t="str">
        <f>GetFirstLettersOfAcronym(B465)</f>
        <v>Wiyw</v>
      </c>
      <c r="E465" s="3" t="str">
        <f xml:space="preserve"> CONCATENATE("map.add(new MatchingMnemonic(", CHAR(34), D465,  CHAR(34), ", ", "new MatchingMnemonicDetail(", CHAR(34), B465, CHAR(34), ", ", CHAR(34), C465, CHAR(34),")));")</f>
        <v>map.add(new MatchingMnemonic("Wiyw", new MatchingMnemonicDetail("What’s in your wallet?", "Capital One")));</v>
      </c>
    </row>
    <row r="466" spans="1:5" x14ac:dyDescent="0.25">
      <c r="A466" s="4" t="s">
        <v>6</v>
      </c>
      <c r="B466" s="2" t="str">
        <f>SUBSTITUTE(SUBSTITUTE(SUBSTITUTE(SUBSTITUTE(SUBSTITUTE(SUBSTITUTE(A466,"""",""), "“", ""),  "”", ""), ".", ""), "–", ""), "‘", "")</f>
        <v>We know money</v>
      </c>
      <c r="C466" s="4" t="s">
        <v>7</v>
      </c>
      <c r="D466" s="3" t="str">
        <f>GetFirstLettersOfAcronym(B466)</f>
        <v>Wkm</v>
      </c>
      <c r="E466" s="3" t="str">
        <f xml:space="preserve"> CONCATENATE("map.add(new MatchingMnemonic(", CHAR(34), D466,  CHAR(34), ", ", "new MatchingMnemonicDetail(", CHAR(34), B466, CHAR(34), ", ", CHAR(34), C466, CHAR(34),")));")</f>
        <v>map.add(new MatchingMnemonic("Wkm", new MatchingMnemonicDetail("We know money", "AIG")));</v>
      </c>
    </row>
    <row r="467" spans="1:5" x14ac:dyDescent="0.25">
      <c r="A467" s="4" t="s">
        <v>20</v>
      </c>
      <c r="B467" s="2" t="str">
        <f>SUBSTITUTE(SUBSTITUTE(SUBSTITUTE(SUBSTITUTE(SUBSTITUTE(SUBSTITUTE(A467,"""",""), "“", ""),  "”", ""), ".", ""), "–", ""), "‘", "")</f>
        <v>Works like a dream</v>
      </c>
      <c r="C467" s="4" t="s">
        <v>21</v>
      </c>
      <c r="D467" s="3" t="str">
        <f>GetFirstLettersOfAcronym(B467)</f>
        <v>Wlad</v>
      </c>
      <c r="E467" s="3" t="str">
        <f xml:space="preserve"> CONCATENATE("map.add(new MatchingMnemonic(", CHAR(34), D467,  CHAR(34), ", ", "new MatchingMnemonicDetail(", CHAR(34), B467, CHAR(34), ", ", CHAR(34), C467, CHAR(34),")));")</f>
        <v>map.add(new MatchingMnemonic("Wlad", new MatchingMnemonicDetail("Works like a dream", "Ambien")));</v>
      </c>
    </row>
    <row r="468" spans="1:5" x14ac:dyDescent="0.25">
      <c r="A468" s="2" t="s">
        <v>543</v>
      </c>
      <c r="B468" s="2" t="str">
        <f>SUBSTITUTE(SUBSTITUTE(SUBSTITUTE(SUBSTITUTE(SUBSTITUTE(SUBSTITUTE(A468,"""",""), "“", ""),  "”", ""), ".", ""), "–", ""), "‘", "")</f>
        <v>We’re looking for a few good men</v>
      </c>
      <c r="C468" s="2" t="s">
        <v>542</v>
      </c>
      <c r="D468" s="3" t="str">
        <f>GetFirstLettersOfAcronym(B468)</f>
        <v>Wlfafgm</v>
      </c>
      <c r="E468" s="3" t="str">
        <f xml:space="preserve"> CONCATENATE("map.add(new MatchingMnemonic(", CHAR(34), D468,  CHAR(34), ", ", "new MatchingMnemonicDetail(", CHAR(34), B468, CHAR(34), ", ", CHAR(34), C468, CHAR(34),")));")</f>
        <v>map.add(new MatchingMnemonic("Wlfafgm", new MatchingMnemonicDetail("We’re looking for a few good men", "U.S. Marines")));</v>
      </c>
    </row>
    <row r="469" spans="1:5" x14ac:dyDescent="0.25">
      <c r="A469" s="4" t="s">
        <v>144</v>
      </c>
      <c r="B469" s="2" t="str">
        <f>SUBSTITUTE(SUBSTITUTE(SUBSTITUTE(SUBSTITUTE(SUBSTITUTE(SUBSTITUTE(A469,"""",""), "“", ""),  "”", ""), ".", ""), "–", ""), "‘", "")</f>
        <v>We love to fly and it shows</v>
      </c>
      <c r="C469" s="4" t="s">
        <v>143</v>
      </c>
      <c r="D469" s="3" t="str">
        <f>GetFirstLettersOfAcronym(B469)</f>
        <v>Wltfais</v>
      </c>
      <c r="E469" s="3" t="str">
        <f xml:space="preserve"> CONCATENATE("map.add(new MatchingMnemonic(", CHAR(34), D469,  CHAR(34), ", ", "new MatchingMnemonicDetail(", CHAR(34), B469, CHAR(34), ", ", CHAR(34), C469, CHAR(34),")));")</f>
        <v>map.add(new MatchingMnemonic("Wltfais", new MatchingMnemonicDetail("We love to fly and it shows", "Delta Airlines")));</v>
      </c>
    </row>
    <row r="470" spans="1:5" x14ac:dyDescent="0.25">
      <c r="A470" s="2" t="s">
        <v>649</v>
      </c>
      <c r="B470" s="2" t="str">
        <f>SUBSTITUTE(SUBSTITUTE(SUBSTITUTE(SUBSTITUTE(SUBSTITUTE(SUBSTITUTE(A470,"""",""), "“", ""),  "”", ""), ".", ""), "–", ""), "‘", "")</f>
        <v>We love to see you smile</v>
      </c>
      <c r="C470" s="2" t="s">
        <v>320</v>
      </c>
      <c r="D470" s="3" t="str">
        <f>GetFirstLettersOfAcronym(B470)</f>
        <v>Wltsys</v>
      </c>
      <c r="E470" s="3" t="str">
        <f xml:space="preserve"> CONCATENATE("map.add(new MatchingMnemonic(", CHAR(34), D470,  CHAR(34), ", ", "new MatchingMnemonicDetail(", CHAR(34), B470, CHAR(34), ", ", CHAR(34), C470, CHAR(34),")));")</f>
        <v>map.add(new MatchingMnemonic("Wltsys", new MatchingMnemonicDetail("We love to see you smile", "McDonald’s")));</v>
      </c>
    </row>
    <row r="471" spans="1:5" x14ac:dyDescent="0.25">
      <c r="A471" s="2" t="s">
        <v>582</v>
      </c>
      <c r="B471" s="2" t="str">
        <f>SUBSTITUTE(SUBSTITUTE(SUBSTITUTE(SUBSTITUTE(SUBSTITUTE(SUBSTITUTE(A471,"""",""), "“", ""),  "”", ""), ".", ""), "–", ""), "‘", "")</f>
        <v>We’re moving beyond documents</v>
      </c>
      <c r="C471" s="2" t="s">
        <v>583</v>
      </c>
      <c r="D471" s="3" t="str">
        <f>GetFirstLettersOfAcronym(B471)</f>
        <v>Wmbd</v>
      </c>
      <c r="E471" s="3" t="str">
        <f xml:space="preserve"> CONCATENATE("map.add(new MatchingMnemonic(", CHAR(34), D471,  CHAR(34), ", ", "new MatchingMnemonicDetail(", CHAR(34), B471, CHAR(34), ", ", CHAR(34), C471, CHAR(34),")));")</f>
        <v>map.add(new MatchingMnemonic("Wmbd", new MatchingMnemonicDetail("We’re moving beyond documents", "Xerox")));</v>
      </c>
    </row>
    <row r="472" spans="1:5" x14ac:dyDescent="0.25">
      <c r="A472" s="2" t="s">
        <v>53</v>
      </c>
      <c r="B472" s="2" t="str">
        <f>SUBSTITUTE(SUBSTITUTE(SUBSTITUTE(SUBSTITUTE(SUBSTITUTE(SUBSTITUTE(A472,"""",""), "“", ""),  "”", ""), ".", ""), "–", ""), "‘", "")</f>
        <v>We mean clean</v>
      </c>
      <c r="C472" s="2" t="s">
        <v>54</v>
      </c>
      <c r="D472" s="3" t="str">
        <f>GetFirstLettersOfAcronym(B472)</f>
        <v>Wmc</v>
      </c>
      <c r="E472" s="3" t="str">
        <f xml:space="preserve"> CONCATENATE("map.add(new MatchingMnemonic(", CHAR(34), D472,  CHAR(34), ", ", "new MatchingMnemonicDetail(", CHAR(34), B472, CHAR(34), ", ", CHAR(34), C472, CHAR(34),")));")</f>
        <v>map.add(new MatchingMnemonic("Wmc", new MatchingMnemonicDetail("We mean clean", "Bissell")));</v>
      </c>
    </row>
    <row r="473" spans="1:5" ht="28.5" x14ac:dyDescent="0.25">
      <c r="A473" s="2" t="s">
        <v>474</v>
      </c>
      <c r="B473" s="2" t="str">
        <f>SUBSTITUTE(SUBSTITUTE(SUBSTITUTE(SUBSTITUTE(SUBSTITUTE(SUBSTITUTE(A473,"""",""), "“", ""),  "”", ""), ".", ""), "–", ""), "‘", "")</f>
        <v>We make the money the old-fashioned way We earn it</v>
      </c>
      <c r="C473" s="2" t="s">
        <v>475</v>
      </c>
      <c r="D473" s="3" t="str">
        <f>GetFirstLettersOfAcronym(B473)</f>
        <v>WmtmtowWei</v>
      </c>
      <c r="E473" s="3" t="str">
        <f xml:space="preserve"> CONCATENATE("map.add(new MatchingMnemonic(", CHAR(34), D473,  CHAR(34), ", ", "new MatchingMnemonicDetail(", CHAR(34), B473, CHAR(34), ", ", CHAR(34), C473, CHAR(34),")));")</f>
        <v>map.add(new MatchingMnemonic("WmtmtowWei", new MatchingMnemonicDetail("We make the money the old-fashioned way We earn it", "Smith Barney")));</v>
      </c>
    </row>
    <row r="474" spans="1:5" x14ac:dyDescent="0.25">
      <c r="A474" s="2" t="s">
        <v>149</v>
      </c>
      <c r="B474" s="2" t="str">
        <f>SUBSTITUTE(SUBSTITUTE(SUBSTITUTE(SUBSTITUTE(SUBSTITUTE(SUBSTITUTE(A474,"""",""), "“", ""),  "”", ""), ".", ""), "–", ""), "‘", "")</f>
        <v>We move the world</v>
      </c>
      <c r="C474" s="2" t="s">
        <v>150</v>
      </c>
      <c r="D474" s="3" t="str">
        <f>GetFirstLettersOfAcronym(B474)</f>
        <v>Wmtw</v>
      </c>
      <c r="E474" s="3" t="str">
        <f xml:space="preserve"> CONCATENATE("map.add(new MatchingMnemonic(", CHAR(34), D474,  CHAR(34), ", ", "new MatchingMnemonicDetail(", CHAR(34), B474, CHAR(34), ", ", CHAR(34), C474, CHAR(34),")));")</f>
        <v>map.add(new MatchingMnemonic("Wmtw", new MatchingMnemonicDetail("We move the world", "DHL")));</v>
      </c>
    </row>
    <row r="475" spans="1:5" x14ac:dyDescent="0.25">
      <c r="A475" s="2" t="s">
        <v>550</v>
      </c>
      <c r="B475" s="2" t="str">
        <f>SUBSTITUTE(SUBSTITUTE(SUBSTITUTE(SUBSTITUTE(SUBSTITUTE(SUBSTITUTE(A475,"""",""), "“", ""),  "”", ""), ".", ""), "–", ""), "‘", "")</f>
        <v>We never stop working for you</v>
      </c>
      <c r="C475" s="2" t="s">
        <v>551</v>
      </c>
      <c r="D475" s="3" t="str">
        <f>GetFirstLettersOfAcronym(B475)</f>
        <v>Wnswfy</v>
      </c>
      <c r="E475" s="3" t="str">
        <f xml:space="preserve"> CONCATENATE("map.add(new MatchingMnemonic(", CHAR(34), D475,  CHAR(34), ", ", "new MatchingMnemonicDetail(", CHAR(34), B475, CHAR(34), ", ", CHAR(34), C475, CHAR(34),")));")</f>
        <v>map.add(new MatchingMnemonic("Wnswfy", new MatchingMnemonicDetail("We never stop working for you", "Verizon Wireless")));</v>
      </c>
    </row>
    <row r="476" spans="1:5" x14ac:dyDescent="0.25">
      <c r="A476" s="4" t="s">
        <v>572</v>
      </c>
      <c r="B476" s="2" t="str">
        <f>SUBSTITUTE(SUBSTITUTE(SUBSTITUTE(SUBSTITUTE(SUBSTITUTE(SUBSTITUTE(A476,"""",""), "“", ""),  "”", ""), ".", ""), "–", ""), "‘", "")</f>
        <v>Where’s the beef?</v>
      </c>
      <c r="C476" s="4" t="s">
        <v>573</v>
      </c>
      <c r="D476" s="3" t="str">
        <f>GetFirstLettersOfAcronym(B476)</f>
        <v>Wtb</v>
      </c>
      <c r="E476" s="3" t="str">
        <f xml:space="preserve"> CONCATENATE("map.add(new MatchingMnemonic(", CHAR(34), D476,  CHAR(34), ", ", "new MatchingMnemonicDetail(", CHAR(34), B476, CHAR(34), ", ", CHAR(34), C476, CHAR(34),")));")</f>
        <v>map.add(new MatchingMnemonic("Wtb", new MatchingMnemonicDetail("Where’s the beef?", "Wendy’s")));</v>
      </c>
    </row>
    <row r="477" spans="1:5" x14ac:dyDescent="0.25">
      <c r="A477" s="2" t="s">
        <v>611</v>
      </c>
      <c r="B477" s="2" t="str">
        <f>SUBSTITUTE(SUBSTITUTE(SUBSTITUTE(SUBSTITUTE(SUBSTITUTE(SUBSTITUTE(A477,"""",""), "“", ""),  "”", ""), ".", ""), "–", ""), "‘", "")</f>
        <v>What’s the best tuna? Chicken of the Sea</v>
      </c>
      <c r="C477" s="2" t="s">
        <v>612</v>
      </c>
      <c r="D477" s="3" t="str">
        <f>GetFirstLettersOfAcronym(B477)</f>
        <v>WtbtCotS</v>
      </c>
      <c r="E477" s="3" t="str">
        <f xml:space="preserve"> CONCATENATE("map.add(new MatchingMnemonic(", CHAR(34), D477,  CHAR(34), ", ", "new MatchingMnemonicDetail(", CHAR(34), B477, CHAR(34), ", ", CHAR(34), C477, CHAR(34),")));")</f>
        <v>map.add(new MatchingMnemonic("WtbtCotS", new MatchingMnemonicDetail("What’s the best tuna? Chicken of the Sea", "Chicken of the Sea")));</v>
      </c>
    </row>
    <row r="478" spans="1:5" x14ac:dyDescent="0.25">
      <c r="A478" s="4" t="s">
        <v>248</v>
      </c>
      <c r="B478" s="2" t="str">
        <f>SUBSTITUTE(SUBSTITUTE(SUBSTITUTE(SUBSTITUTE(SUBSTITUTE(SUBSTITUTE(A478,"""",""), "“", ""),  "”", ""), ".", ""), "–", ""), "‘", "")</f>
        <v>Where’s the cream filling?</v>
      </c>
      <c r="C478" s="4" t="s">
        <v>249</v>
      </c>
      <c r="D478" s="3" t="str">
        <f>GetFirstLettersOfAcronym(B478)</f>
        <v>Wtcf</v>
      </c>
      <c r="E478" s="3" t="str">
        <f xml:space="preserve"> CONCATENATE("map.add(new MatchingMnemonic(", CHAR(34), D478,  CHAR(34), ", ", "new MatchingMnemonicDetail(", CHAR(34), B478, CHAR(34), ", ", CHAR(34), C478, CHAR(34),")));")</f>
        <v>map.add(new MatchingMnemonic("Wtcf", new MatchingMnemonicDetail("Where’s the cream filling?", "Hostess Cakes")));</v>
      </c>
    </row>
    <row r="479" spans="1:5" x14ac:dyDescent="0.25">
      <c r="A479" s="4" t="s">
        <v>696</v>
      </c>
      <c r="B479" s="2" t="str">
        <f>SUBSTITUTE(SUBSTITUTE(SUBSTITUTE(SUBSTITUTE(SUBSTITUTE(SUBSTITUTE(A479,"""",""), "“", ""),  "”", ""), ".", ""), "–", ""), "‘", "")</f>
        <v>Winston tastes good like a cigarette should</v>
      </c>
      <c r="C479" s="4" t="s">
        <v>697</v>
      </c>
      <c r="D479" s="3" t="str">
        <f>GetFirstLettersOfAcronym(B479)</f>
        <v>Wtglacs</v>
      </c>
      <c r="E479" s="3" t="str">
        <f xml:space="preserve"> CONCATENATE("map.add(new MatchingMnemonic(", CHAR(34), D479,  CHAR(34), ", ", "new MatchingMnemonicDetail(", CHAR(34), B479, CHAR(34), ", ", CHAR(34), C479, CHAR(34),")));")</f>
        <v>map.add(new MatchingMnemonic("Wtglacs", new MatchingMnemonicDetail("Winston tastes good like a cigarette should", "Winston")));</v>
      </c>
    </row>
    <row r="480" spans="1:5" x14ac:dyDescent="0.25">
      <c r="A480" s="4" t="s">
        <v>43</v>
      </c>
      <c r="B480" s="2" t="str">
        <f>SUBSTITUTE(SUBSTITUTE(SUBSTITUTE(SUBSTITUTE(SUBSTITUTE(SUBSTITUTE(A480,"""",""), "“", ""),  "”", ""), ".", ""), "–", ""), "‘", "")</f>
        <v>We try harder</v>
      </c>
      <c r="C480" s="4" t="s">
        <v>44</v>
      </c>
      <c r="D480" s="3" t="str">
        <f>GetFirstLettersOfAcronym(B480)</f>
        <v>Wth</v>
      </c>
      <c r="E480" s="3" t="str">
        <f xml:space="preserve"> CONCATENATE("map.add(new MatchingMnemonic(", CHAR(34), D480,  CHAR(34), ", ", "new MatchingMnemonicDetail(", CHAR(34), B480, CHAR(34), ", ", CHAR(34), C480, CHAR(34),")));")</f>
        <v>map.add(new MatchingMnemonic("Wth", new MatchingMnemonicDetail("We try harder", "Avis")));</v>
      </c>
    </row>
    <row r="481" spans="1:5" x14ac:dyDescent="0.25">
      <c r="A481" t="s">
        <v>871</v>
      </c>
      <c r="B481" s="2" t="str">
        <f>SUBSTITUTE(SUBSTITUTE(SUBSTITUTE(SUBSTITUTE(SUBSTITUTE(SUBSTITUTE(TRIM(A481),"""",""), "“", ""),  "”", ""), ".", ""), "–", ""), "‘", "")</f>
        <v>Which twin has the Toni?</v>
      </c>
      <c r="C481" t="s">
        <v>787</v>
      </c>
      <c r="D481" s="3" t="str">
        <f>GetFirstLettersOfAcronym(B481)</f>
        <v>WthtT</v>
      </c>
      <c r="E481" s="3" t="str">
        <f xml:space="preserve"> CONCATENATE("map.add(new MatchingMnemonic(", CHAR(34), D481,  CHAR(34), ", ", "new MatchingMnemonicDetail(", CHAR(34), B481, CHAR(34), ", ", CHAR(34), C481, CHAR(34),")));")</f>
        <v>map.add(new MatchingMnemonic("WthtT", new MatchingMnemonicDetail("Which twin has the Toni?", "Toni")));</v>
      </c>
    </row>
    <row r="482" spans="1:5" x14ac:dyDescent="0.25">
      <c r="A482" s="3" t="s">
        <v>728</v>
      </c>
      <c r="B482" s="2" t="str">
        <f>SUBSTITUTE(SUBSTITUTE(SUBSTITUTE(SUBSTITUTE(SUBSTITUTE(SUBSTITUTE(A482,"""",""), "“", ""),  "”", ""), ".", ""), "–", ""), "‘", "")</f>
        <v xml:space="preserve"> When there is no tomorrow</v>
      </c>
      <c r="C482" s="3" t="s">
        <v>727</v>
      </c>
      <c r="D482" s="3" t="str">
        <f>GetFirstLettersOfAcronym(B482)</f>
        <v>Wtint</v>
      </c>
      <c r="E482" s="3" t="str">
        <f xml:space="preserve"> CONCATENATE("map.add(new MatchingMnemonic(", CHAR(34), D482,  CHAR(34), ", ", "new MatchingMnemonicDetail(", CHAR(34), B482, CHAR(34), ", ", CHAR(34), C482, CHAR(34),")));")</f>
        <v>map.add(new MatchingMnemonic("Wtint", new MatchingMnemonicDetail(" When there is no tomorrow", "FedEx ")));</v>
      </c>
    </row>
    <row r="483" spans="1:5" x14ac:dyDescent="0.25">
      <c r="A483" s="4" t="s">
        <v>588</v>
      </c>
      <c r="B483" s="2" t="str">
        <f>SUBSTITUTE(SUBSTITUTE(SUBSTITUTE(SUBSTITUTE(SUBSTITUTE(SUBSTITUTE(A483,"""",""), "“", ""),  "”", ""), ".", ""), "–", ""), "‘", "")</f>
        <v>Where technology means business</v>
      </c>
      <c r="C483" s="4" t="s">
        <v>589</v>
      </c>
      <c r="D483" s="3" t="str">
        <f>GetFirstLettersOfAcronym(B483)</f>
        <v>Wtmb</v>
      </c>
      <c r="E483" s="3" t="str">
        <f xml:space="preserve"> CONCATENATE("map.add(new MatchingMnemonic(", CHAR(34), D483,  CHAR(34), ", ", "new MatchingMnemonicDetail(", CHAR(34), B483, CHAR(34), ", ", CHAR(34), C483, CHAR(34),")));")</f>
        <v>map.add(new MatchingMnemonic("Wtmb", new MatchingMnemonicDetail("Where technology means business", "ZDNet")));</v>
      </c>
    </row>
    <row r="484" spans="1:5" x14ac:dyDescent="0.25">
      <c r="A484" s="4" t="s">
        <v>460</v>
      </c>
      <c r="B484" s="2" t="str">
        <f>SUBSTITUTE(SUBSTITUTE(SUBSTITUTE(SUBSTITUTE(SUBSTITUTE(SUBSTITUTE(A484,"""",""), "“", ""),  "”", ""), ".", ""), "–", ""), "‘", "")</f>
        <v>We turn on ideas</v>
      </c>
      <c r="C484" s="4" t="s">
        <v>461</v>
      </c>
      <c r="D484" s="3" t="str">
        <f>GetFirstLettersOfAcronym(B484)</f>
        <v>Wtoi</v>
      </c>
      <c r="E484" s="3" t="str">
        <f xml:space="preserve"> CONCATENATE("map.add(new MatchingMnemonic(", CHAR(34), D484,  CHAR(34), ", ", "new MatchingMnemonicDetail(", CHAR(34), B484, CHAR(34), ", ", CHAR(34), C484, CHAR(34),")));")</f>
        <v>map.add(new MatchingMnemonic("Wtoi", new MatchingMnemonicDetail("We turn on ideas", "Seagate")));</v>
      </c>
    </row>
    <row r="485" spans="1:5" x14ac:dyDescent="0.25">
      <c r="A485" s="2" t="s">
        <v>415</v>
      </c>
      <c r="B485" s="2" t="str">
        <f>SUBSTITUTE(SUBSTITUTE(SUBSTITUTE(SUBSTITUTE(SUBSTITUTE(SUBSTITUTE(A485,"""",""), "“", ""),  "”", ""), ".", ""), "–", ""), "‘", "")</f>
        <v>Where the pets go</v>
      </c>
      <c r="C485" s="2" t="s">
        <v>416</v>
      </c>
      <c r="D485" s="3" t="str">
        <f>GetFirstLettersOfAcronym(B485)</f>
        <v>Wtpg</v>
      </c>
      <c r="E485" s="3" t="str">
        <f xml:space="preserve"> CONCATENATE("map.add(new MatchingMnemonic(", CHAR(34), D485,  CHAR(34), ", ", "new MatchingMnemonicDetail(", CHAR(34), B485, CHAR(34), ", ", CHAR(34), C485, CHAR(34),")));")</f>
        <v>map.add(new MatchingMnemonic("Wtpg", new MatchingMnemonicDetail("Where the pets go", "Petco")));</v>
      </c>
    </row>
    <row r="486" spans="1:5" x14ac:dyDescent="0.25">
      <c r="A486" t="s">
        <v>881</v>
      </c>
      <c r="B486" s="2" t="str">
        <f>SUBSTITUTE(SUBSTITUTE(SUBSTITUTE(SUBSTITUTE(SUBSTITUTE(SUBSTITUTE(TRIM(A486),"""",""), "“", ""),  "”", ""), ".", ""), "–", ""), "‘", "")</f>
        <v>What’s the Worst That Could Happen?</v>
      </c>
      <c r="C486" t="s">
        <v>624</v>
      </c>
      <c r="D486" s="3" t="str">
        <f>GetFirstLettersOfAcronym(B486)</f>
        <v>WtWTCH</v>
      </c>
      <c r="E486" s="3" t="str">
        <f xml:space="preserve"> CONCATENATE("map.add(new MatchingMnemonic(", CHAR(34), D486,  CHAR(34), ", ", "new MatchingMnemonicDetail(", CHAR(34), B486, CHAR(34), ", ", CHAR(34), C486, CHAR(34),")));")</f>
        <v>map.add(new MatchingMnemonic("WtWTCH", new MatchingMnemonicDetail("What’s the Worst That Could Happen?", "Dr Pepper")));</v>
      </c>
    </row>
    <row r="487" spans="1:5" x14ac:dyDescent="0.25">
      <c r="A487" s="2" t="s">
        <v>342</v>
      </c>
      <c r="B487" s="2" t="str">
        <f>SUBSTITUTE(SUBSTITUTE(SUBSTITUTE(SUBSTITUTE(SUBSTITUTE(SUBSTITUTE(A487,"""",""), "“", ""),  "”", ""), ".", ""), "–", ""), "‘", "")</f>
        <v>Wake up and drive</v>
      </c>
      <c r="C487" s="2" t="s">
        <v>343</v>
      </c>
      <c r="D487" s="3" t="str">
        <f>GetFirstLettersOfAcronym(B487)</f>
        <v>Wuad</v>
      </c>
      <c r="E487" s="3" t="str">
        <f xml:space="preserve"> CONCATENATE("map.add(new MatchingMnemonic(", CHAR(34), D487,  CHAR(34), ", ", "new MatchingMnemonicDetail(", CHAR(34), B487, CHAR(34), ", ", CHAR(34), C487, CHAR(34),")));")</f>
        <v>map.add(new MatchingMnemonic("Wuad", new MatchingMnemonicDetail("Wake up and drive", "Mitsubishi Motors")));</v>
      </c>
    </row>
    <row r="488" spans="1:5" x14ac:dyDescent="0.25">
      <c r="A488" s="4" t="s">
        <v>406</v>
      </c>
      <c r="B488" s="2" t="str">
        <f>SUBSTITUTE(SUBSTITUTE(SUBSTITUTE(SUBSTITUTE(SUBSTITUTE(SUBSTITUTE(A488,"""",""), "“", ""),  "”", ""), ".", ""), "–", ""), "‘", "")</f>
        <v>We will sell no wine before its time</v>
      </c>
      <c r="C488" s="4" t="s">
        <v>407</v>
      </c>
      <c r="D488" s="3" t="str">
        <f>GetFirstLettersOfAcronym(B488)</f>
        <v>Wwsnwbit</v>
      </c>
      <c r="E488" s="3" t="str">
        <f xml:space="preserve"> CONCATENATE("map.add(new MatchingMnemonic(", CHAR(34), D488,  CHAR(34), ", ", "new MatchingMnemonicDetail(", CHAR(34), B488, CHAR(34), ", ", CHAR(34), C488, CHAR(34),")));")</f>
        <v>map.add(new MatchingMnemonic("Wwsnwbit", new MatchingMnemonicDetail("We will sell no wine before its time", "Paul Masson")));</v>
      </c>
    </row>
    <row r="489" spans="1:5" x14ac:dyDescent="0.25">
      <c r="A489" s="4" t="s">
        <v>638</v>
      </c>
      <c r="B489" s="2" t="str">
        <f>SUBSTITUTE(SUBSTITUTE(SUBSTITUTE(SUBSTITUTE(SUBSTITUTE(SUBSTITUTE(A489,"""",""), "“", ""),  "”", ""), ".", ""), "–", ""), "‘", "")</f>
        <v>What would you do for a Klondike bar?</v>
      </c>
      <c r="C489" s="4" t="s">
        <v>639</v>
      </c>
      <c r="D489" s="3" t="str">
        <f>GetFirstLettersOfAcronym(B489)</f>
        <v>WwydfaKb</v>
      </c>
      <c r="E489" s="3" t="str">
        <f xml:space="preserve"> CONCATENATE("map.add(new MatchingMnemonic(", CHAR(34), D489,  CHAR(34), ", ", "new MatchingMnemonicDetail(", CHAR(34), B489, CHAR(34), ", ", CHAR(34), C489, CHAR(34),")));")</f>
        <v>map.add(new MatchingMnemonic("WwydfaKb", new MatchingMnemonicDetail("What would you do for a Klondike bar?", "Klondike Bar")));</v>
      </c>
    </row>
    <row r="490" spans="1:5" x14ac:dyDescent="0.25">
      <c r="A490" s="2" t="s">
        <v>109</v>
      </c>
      <c r="B490" s="2" t="str">
        <f>SUBSTITUTE(SUBSTITUTE(SUBSTITUTE(SUBSTITUTE(SUBSTITUTE(SUBSTITUTE(A490,"""",""), "“", ""),  "”", ""), ".", ""), "–", ""), "‘", "")</f>
        <v>Will you be ready?</v>
      </c>
      <c r="C490" s="2" t="s">
        <v>110</v>
      </c>
      <c r="D490" s="3" t="str">
        <f>GetFirstLettersOfAcronym(B490)</f>
        <v>Wybr</v>
      </c>
      <c r="E490" s="3" t="str">
        <f xml:space="preserve"> CONCATENATE("map.add(new MatchingMnemonic(", CHAR(34), D490,  CHAR(34), ", ", "new MatchingMnemonicDetail(", CHAR(34), B490, CHAR(34), ", ", CHAR(34), C490, CHAR(34),")));")</f>
        <v>map.add(new MatchingMnemonic("Wybr", new MatchingMnemonicDetail("Will you be ready?", "Cialis")));</v>
      </c>
    </row>
    <row r="491" spans="1:5" ht="28.5" x14ac:dyDescent="0.25">
      <c r="A491" s="2" t="s">
        <v>230</v>
      </c>
      <c r="B491" s="2" t="str">
        <f>SUBSTITUTE(SUBSTITUTE(SUBSTITUTE(SUBSTITUTE(SUBSTITUTE(SUBSTITUTE(A491,"""",""), "“", ""),  "”", ""), ".", ""), "–", ""), "‘", "")</f>
        <v>When you care enough to send the very best</v>
      </c>
      <c r="C491" s="2" t="s">
        <v>231</v>
      </c>
      <c r="D491" s="3" t="str">
        <f>GetFirstLettersOfAcronym(B491)</f>
        <v>Wycetstvb</v>
      </c>
      <c r="E491" s="3" t="str">
        <f xml:space="preserve"> CONCATENATE("map.add(new MatchingMnemonic(", CHAR(34), D491,  CHAR(34), ", ", "new MatchingMnemonicDetail(", CHAR(34), B491, CHAR(34), ", ", CHAR(34), C491, CHAR(34),")));")</f>
        <v>map.add(new MatchingMnemonic("Wycetstvb", new MatchingMnemonicDetail("When you care enough to send the very best", "Hallmark")));</v>
      </c>
    </row>
    <row r="492" spans="1:5" x14ac:dyDescent="0.25">
      <c r="A492" s="2" t="s">
        <v>169</v>
      </c>
      <c r="B492" s="2" t="str">
        <f>SUBSTITUTE(SUBSTITUTE(SUBSTITUTE(SUBSTITUTE(SUBSTITUTE(SUBSTITUTE(A492,"""",""), "“", ""),  "”", ""), ".", ""), "–", ""), "‘", "")</f>
        <v>When you’re crazy for chicken</v>
      </c>
      <c r="C492" s="2" t="s">
        <v>170</v>
      </c>
      <c r="D492" s="3" t="str">
        <f>GetFirstLettersOfAcronym(B492)</f>
        <v>Wycfc</v>
      </c>
      <c r="E492" s="3" t="str">
        <f xml:space="preserve"> CONCATENATE("map.add(new MatchingMnemonic(", CHAR(34), D492,  CHAR(34), ", ", "new MatchingMnemonicDetail(", CHAR(34), B492, CHAR(34), ", ", CHAR(34), C492, CHAR(34),")));")</f>
        <v>map.add(new MatchingMnemonic("Wycfc", new MatchingMnemonicDetail("When you’re crazy for chicken", "El Pollo Loco")));</v>
      </c>
    </row>
    <row r="493" spans="1:5" x14ac:dyDescent="0.25">
      <c r="A493" s="2" t="s">
        <v>62</v>
      </c>
      <c r="B493" s="2" t="str">
        <f>SUBSTITUTE(SUBSTITUTE(SUBSTITUTE(SUBSTITUTE(SUBSTITUTE(SUBSTITUTE(A493,"""",""), "“", ""),  "”", ""), ".", ""), "–", ""), "‘", "")</f>
        <v>When you’ve got it, flaunt it</v>
      </c>
      <c r="C493" s="2" t="s">
        <v>63</v>
      </c>
      <c r="D493" s="3" t="str">
        <f>GetFirstLettersOfAcronym(B493)</f>
        <v>Wygifi</v>
      </c>
      <c r="E493" s="3" t="str">
        <f xml:space="preserve"> CONCATENATE("map.add(new MatchingMnemonic(", CHAR(34), D493,  CHAR(34), ", ", "new MatchingMnemonicDetail(", CHAR(34), B493, CHAR(34), ", ", CHAR(34), C493, CHAR(34),")));")</f>
        <v>map.add(new MatchingMnemonic("Wygifi", new MatchingMnemonicDetail("When you’ve got it, flaunt it", "Braniff Airlines")));</v>
      </c>
    </row>
    <row r="494" spans="1:5" x14ac:dyDescent="0.25">
      <c r="A494" t="s">
        <v>865</v>
      </c>
      <c r="B494" s="2" t="str">
        <f>SUBSTITUTE(SUBSTITUTE(SUBSTITUTE(SUBSTITUTE(SUBSTITUTE(SUBSTITUTE(TRIM(A494),"""",""), "“", ""),  "”", ""), ".", ""), "–", ""), "‘", "")</f>
        <v>When you got it, flaunt it</v>
      </c>
      <c r="C494" t="s">
        <v>63</v>
      </c>
      <c r="D494" s="3" t="str">
        <f>GetFirstLettersOfAcronym(B494)</f>
        <v>Wygifi</v>
      </c>
      <c r="E494" s="3" t="str">
        <f xml:space="preserve"> CONCATENATE("map.add(new MatchingMnemonic(", CHAR(34), D494,  CHAR(34), ", ", "new MatchingMnemonicDetail(", CHAR(34), B494, CHAR(34), ", ", CHAR(34), C494, CHAR(34),")));")</f>
        <v>map.add(new MatchingMnemonic("Wygifi", new MatchingMnemonicDetail("When you got it, flaunt it", "Braniff Airlines")));</v>
      </c>
    </row>
    <row r="495" spans="1:5" ht="28.5" x14ac:dyDescent="0.25">
      <c r="A495" s="4" t="s">
        <v>675</v>
      </c>
      <c r="B495" s="2" t="str">
        <f>SUBSTITUTE(SUBSTITUTE(SUBSTITUTE(SUBSTITUTE(SUBSTITUTE(SUBSTITUTE(TRIM(A495),"""",""), "“", ""),  "”", ""), ".", ""), "–", ""), "‘", "")</f>
        <v>When you’re out of Schlitz, you’re out of beer</v>
      </c>
      <c r="C495" s="4" t="s">
        <v>676</v>
      </c>
      <c r="D495" s="3" t="str">
        <f>GetFirstLettersOfAcronym(B495)</f>
        <v>WyooSyoob</v>
      </c>
      <c r="E495" s="3" t="str">
        <f xml:space="preserve"> CONCATENATE("map.add(new MatchingMnemonic(", CHAR(34), D495,  CHAR(34), ", ", "new MatchingMnemonicDetail(", CHAR(34), B495, CHAR(34), ", ", CHAR(34), C495, CHAR(34),")));")</f>
        <v>map.add(new MatchingMnemonic("WyooSyoob", new MatchingMnemonicDetail("When you’re out of Schlitz, you’re out of beer", "Schlitz Beer")));</v>
      </c>
    </row>
    <row r="496" spans="1:5" x14ac:dyDescent="0.25">
      <c r="A496" s="4" t="s">
        <v>604</v>
      </c>
      <c r="B496" s="2" t="str">
        <f>SUBSTITUTE(SUBSTITUTE(SUBSTITUTE(SUBSTITUTE(SUBSTITUTE(SUBSTITUTE(TRIM(A496),"""",""), "“", ""),  "”", ""), ".", ""), "–", ""), "‘", "")</f>
        <v>When you say Budweiser, you’ve said it all</v>
      </c>
      <c r="C496" s="4" t="s">
        <v>72</v>
      </c>
      <c r="D496" s="3" t="str">
        <f>GetFirstLettersOfAcronym(B496)</f>
        <v>WysBysia</v>
      </c>
      <c r="E496" s="3" t="str">
        <f xml:space="preserve"> CONCATENATE("map.add(new MatchingMnemonic(", CHAR(34), D496,  CHAR(34), ", ", "new MatchingMnemonicDetail(", CHAR(34), B496, CHAR(34), ", ", CHAR(34), C496, CHAR(34),")));")</f>
        <v>map.add(new MatchingMnemonic("WysBysia", new MatchingMnemonicDetail("When you say Budweiser, you’ve said it all", "Budweiser")));</v>
      </c>
    </row>
    <row r="497" spans="1:5" ht="28.5" x14ac:dyDescent="0.25">
      <c r="A497" s="4" t="s">
        <v>480</v>
      </c>
      <c r="B497" s="2" t="str">
        <f>SUBSTITUTE(SUBSTITUTE(SUBSTITUTE(SUBSTITUTE(SUBSTITUTE(SUBSTITUTE(TRIM(A497),"""",""), "“", ""),  "”", ""), ".", ""), "–", ""), "‘", "")</f>
        <v>You are now free to move about the country</v>
      </c>
      <c r="C497" s="4" t="s">
        <v>481</v>
      </c>
      <c r="D497" s="3" t="str">
        <f>GetFirstLettersOfAcronym(B497)</f>
        <v>Yanftmatc</v>
      </c>
      <c r="E497" s="3" t="str">
        <f xml:space="preserve"> CONCATENATE("map.add(new MatchingMnemonic(", CHAR(34), D497,  CHAR(34), ", ", "new MatchingMnemonicDetail(", CHAR(34), B497, CHAR(34), ", ", CHAR(34), C497, CHAR(34),")));")</f>
        <v>map.add(new MatchingMnemonic("Yanftmatc", new MatchingMnemonicDetail("You are now free to move about the country", "Southwest Airlines")));</v>
      </c>
    </row>
    <row r="498" spans="1:5" x14ac:dyDescent="0.25">
      <c r="A498" s="4" t="s">
        <v>555</v>
      </c>
      <c r="B498" s="2" t="str">
        <f>SUBSTITUTE(SUBSTITUTE(SUBSTITUTE(SUBSTITUTE(SUBSTITUTE(SUBSTITUTE(TRIM(A498),"""",""), "“", ""),  "”", ""), ".", ""), "–", ""), "‘", "")</f>
        <v>You’ve come a long way, baby</v>
      </c>
      <c r="C498" s="4" t="s">
        <v>556</v>
      </c>
      <c r="D498" s="3" t="str">
        <f>GetFirstLettersOfAcronym(B498)</f>
        <v>Ycalwb</v>
      </c>
      <c r="E498" s="3" t="str">
        <f xml:space="preserve"> CONCATENATE("map.add(new MatchingMnemonic(", CHAR(34), D498,  CHAR(34), ", ", "new MatchingMnemonicDetail(", CHAR(34), B498, CHAR(34), ", ", CHAR(34), C498, CHAR(34),")));")</f>
        <v>map.add(new MatchingMnemonic("Ycalwb", new MatchingMnemonicDetail("You’ve come a long way, baby", "Virginia Slims Cigarettes")));</v>
      </c>
    </row>
    <row r="499" spans="1:5" x14ac:dyDescent="0.25">
      <c r="A499" t="s">
        <v>870</v>
      </c>
      <c r="B499" s="2" t="str">
        <f>SUBSTITUTE(SUBSTITUTE(SUBSTITUTE(SUBSTITUTE(SUBSTITUTE(SUBSTITUTE(TRIM(A499),"""",""), "“", ""),  "”", ""), ".", ""), "–", ""), "‘", "")</f>
        <v>You can be sure of Shell</v>
      </c>
      <c r="C499" t="s">
        <v>785</v>
      </c>
      <c r="D499" s="3" t="str">
        <f>GetFirstLettersOfAcronym(B499)</f>
        <v>YcbsoS</v>
      </c>
      <c r="E499" s="3" t="str">
        <f xml:space="preserve"> CONCATENATE("map.add(new MatchingMnemonic(", CHAR(34), D499,  CHAR(34), ", ", "new MatchingMnemonicDetail(", CHAR(34), B499, CHAR(34), ", ", CHAR(34), C499, CHAR(34),")));")</f>
        <v>map.add(new MatchingMnemonic("YcbsoS", new MatchingMnemonicDetail("You can be sure of Shell", "Shell Oil")));</v>
      </c>
    </row>
    <row r="500" spans="1:5" x14ac:dyDescent="0.25">
      <c r="A500" s="3" t="s">
        <v>740</v>
      </c>
      <c r="B500" s="2" t="str">
        <f>SUBSTITUTE(SUBSTITUTE(SUBSTITUTE(SUBSTITUTE(SUBSTITUTE(SUBSTITUTE(TRIM(A500),"""",""), "“", ""),  "”", ""), ".", ""), "–", ""), "‘", "")</f>
        <v>You can’t beat the real thing</v>
      </c>
      <c r="C500" s="2" t="s">
        <v>124</v>
      </c>
      <c r="D500" s="3" t="str">
        <f>GetFirstLettersOfAcronym(B500)</f>
        <v>Ycbtrt</v>
      </c>
      <c r="E500" s="3" t="str">
        <f xml:space="preserve"> CONCATENATE("map.add(new MatchingMnemonic(", CHAR(34), D500,  CHAR(34), ", ", "new MatchingMnemonicDetail(", CHAR(34), B500, CHAR(34), ", ", CHAR(34), C500, CHAR(34),")));")</f>
        <v>map.add(new MatchingMnemonic("Ycbtrt", new MatchingMnemonicDetail("You can’t beat the real thing", "Coca-Cola")));</v>
      </c>
    </row>
    <row r="501" spans="1:5" x14ac:dyDescent="0.25">
      <c r="A501" s="2" t="s">
        <v>358</v>
      </c>
      <c r="B501" s="2" t="str">
        <f>SUBSTITUTE(SUBSTITUTE(SUBSTITUTE(SUBSTITUTE(SUBSTITUTE(SUBSTITUTE(TRIM(A501),"""",""), "“", ""),  "”", ""), ".", ""), "–", ""), "‘", "")</f>
        <v>You could learn a lot from a dummy Buckle up!</v>
      </c>
      <c r="C501" s="2" t="s">
        <v>359</v>
      </c>
      <c r="D501" s="3" t="str">
        <f>GetFirstLettersOfAcronym(B501)</f>
        <v>YclalfadBu</v>
      </c>
      <c r="E501" s="3" t="str">
        <f xml:space="preserve"> CONCATENATE("map.add(new MatchingMnemonic(", CHAR(34), D501,  CHAR(34), ", ", "new MatchingMnemonicDetail(", CHAR(34), B501, CHAR(34), ", ", CHAR(34), C501, CHAR(34),")));")</f>
        <v>map.add(new MatchingMnemonic("YclalfadBu", new MatchingMnemonicDetail("You could learn a lot from a dummy Buckle up!", "National Highway Traffic Safety Administration")));</v>
      </c>
    </row>
    <row r="502" spans="1:5" ht="28.5" x14ac:dyDescent="0.25">
      <c r="A502" s="2" t="s">
        <v>689</v>
      </c>
      <c r="B502" s="2" t="str">
        <f>SUBSTITUTE(SUBSTITUTE(SUBSTITUTE(SUBSTITUTE(SUBSTITUTE(SUBSTITUTE(TRIM(A502),"""",""), "“", ""),  "”", ""), ".", ""), "–", ""), "‘", "")</f>
        <v>You can trust your car to the men who wear the star</v>
      </c>
      <c r="C502" s="2" t="s">
        <v>690</v>
      </c>
      <c r="D502" s="3" t="str">
        <f>GetFirstLettersOfAcronym(B502)</f>
        <v>Yctycttmwwts</v>
      </c>
      <c r="E502" s="3" t="str">
        <f xml:space="preserve"> CONCATENATE("map.add(new MatchingMnemonic(", CHAR(34), D502,  CHAR(34), ", ", "new MatchingMnemonicDetail(", CHAR(34), B502, CHAR(34), ", ", CHAR(34), C502, CHAR(34),")));")</f>
        <v>map.add(new MatchingMnemonic("Yctycttmwwts", new MatchingMnemonicDetail("You can trust your car to the men who wear the star", "Texaco")));</v>
      </c>
    </row>
    <row r="503" spans="1:5" x14ac:dyDescent="0.25">
      <c r="A503" s="2" t="s">
        <v>647</v>
      </c>
      <c r="B503" s="2" t="str">
        <f>SUBSTITUTE(SUBSTITUTE(SUBSTITUTE(SUBSTITUTE(SUBSTITUTE(SUBSTITUTE(TRIM(A503),"""",""), "“", ""),  "”", ""), ".", ""), "–", ""), "‘", "")</f>
        <v>You deserve a break today</v>
      </c>
      <c r="C503" s="2" t="s">
        <v>320</v>
      </c>
      <c r="D503" s="3" t="str">
        <f>GetFirstLettersOfAcronym(B503)</f>
        <v>Ydabt</v>
      </c>
      <c r="E503" s="3" t="str">
        <f xml:space="preserve"> CONCATENATE("map.add(new MatchingMnemonic(", CHAR(34), D503,  CHAR(34), ", ", "new MatchingMnemonicDetail(", CHAR(34), B503, CHAR(34), ", ", CHAR(34), C503, CHAR(34),")));")</f>
        <v>map.add(new MatchingMnemonic("Ydabt", new MatchingMnemonicDetail("You deserve a break today", "McDonald’s")));</v>
      </c>
    </row>
    <row r="504" spans="1:5" x14ac:dyDescent="0.25">
      <c r="A504" t="s">
        <v>816</v>
      </c>
      <c r="B504" s="2" t="str">
        <f>SUBSTITUTE(SUBSTITUTE(SUBSTITUTE(SUBSTITUTE(SUBSTITUTE(SUBSTITUTE(TRIM(A504),"""",""), "“", ""),  "”", ""), ".", ""), "–", ""), "‘", "")</f>
        <v>You don’t have to be Jewish to love Levy’s</v>
      </c>
      <c r="C504" t="s">
        <v>914</v>
      </c>
      <c r="D504" s="3" t="str">
        <f>GetFirstLettersOfAcronym(B504)</f>
        <v>YdhtbJtlL</v>
      </c>
      <c r="E504" s="3" t="str">
        <f xml:space="preserve"> CONCATENATE("map.add(new MatchingMnemonic(", CHAR(34), D504,  CHAR(34), ", ", "new MatchingMnemonicDetail(", CHAR(34), B504, CHAR(34), ", ", CHAR(34), C504, CHAR(34),")));")</f>
        <v>map.add(new MatchingMnemonic("YdhtbJtlL", new MatchingMnemonicDetail("You don’t have to be Jewish to love Levy’s", "Levy’s Rye Bread")));</v>
      </c>
    </row>
    <row r="505" spans="1:5" x14ac:dyDescent="0.25">
      <c r="A505" t="s">
        <v>756</v>
      </c>
      <c r="B505" s="2" t="str">
        <f>SUBSTITUTE(SUBSTITUTE(SUBSTITUTE(SUBSTITUTE(SUBSTITUTE(SUBSTITUTE(TRIM(A505),"""",""), "“", ""),  "”", ""), ".", ""), "–", ""), "‘", "")</f>
        <v>Your flexible friend</v>
      </c>
      <c r="C505" t="s">
        <v>757</v>
      </c>
      <c r="D505" s="3" t="str">
        <f>GetFirstLettersOfAcronym(B505)</f>
        <v>Yff</v>
      </c>
      <c r="E505" s="3" t="str">
        <f xml:space="preserve"> CONCATENATE("map.add(new MatchingMnemonic(", CHAR(34), D505,  CHAR(34), ", ", "new MatchingMnemonicDetail(", CHAR(34), B505, CHAR(34), ", ", CHAR(34), C505, CHAR(34),")));")</f>
        <v>map.add(new MatchingMnemonic("Yff", new MatchingMnemonicDetail("Your flexible friend", "Access")));</v>
      </c>
    </row>
    <row r="506" spans="1:5" x14ac:dyDescent="0.25">
      <c r="A506" s="4" t="s">
        <v>436</v>
      </c>
      <c r="B506" s="2" t="str">
        <f>SUBSTITUTE(SUBSTITUTE(SUBSTITUTE(SUBSTITUTE(SUBSTITUTE(SUBSTITUTE(TRIM(A506),"""",""), "“", ""),  "”", ""), ".", ""), "–", ""), "‘", "")</f>
        <v>You’ve got questions, we’ve got answers</v>
      </c>
      <c r="C506" s="4" t="s">
        <v>437</v>
      </c>
      <c r="D506" s="3" t="str">
        <f>GetFirstLettersOfAcronym(B506)</f>
        <v>Ygqwga</v>
      </c>
      <c r="E506" s="3" t="str">
        <f xml:space="preserve"> CONCATENATE("map.add(new MatchingMnemonic(", CHAR(34), D506,  CHAR(34), ", ", "new MatchingMnemonicDetail(", CHAR(34), B506, CHAR(34), ", ", CHAR(34), C506, CHAR(34),")));")</f>
        <v>map.add(new MatchingMnemonic("Ygqwga", new MatchingMnemonicDetail("You’ve got questions, we’ve got answers", "Radio Shack")));</v>
      </c>
    </row>
    <row r="507" spans="1:5" x14ac:dyDescent="0.25">
      <c r="A507" t="s">
        <v>844</v>
      </c>
      <c r="B507" s="2" t="str">
        <f>SUBSTITUTE(SUBSTITUTE(SUBSTITUTE(SUBSTITUTE(SUBSTITUTE(SUBSTITUTE(TRIM(A507),"""",""), "“", ""),  "”", ""), ".", ""), "–", ""), "‘", "")</f>
        <v>You give us 22 minutes, we’ll give you the world</v>
      </c>
      <c r="C507" t="s">
        <v>942</v>
      </c>
      <c r="D507" s="3" t="str">
        <f>GetFirstLettersOfAcronym(B507)</f>
        <v>Ygu2mwgytw</v>
      </c>
      <c r="E507" s="3" t="str">
        <f xml:space="preserve"> CONCATENATE("map.add(new MatchingMnemonic(", CHAR(34), D507,  CHAR(34), ", ", "new MatchingMnemonicDetail(", CHAR(34), B507, CHAR(34), ", ", CHAR(34), C507, CHAR(34),")));")</f>
        <v>map.add(new MatchingMnemonic("Ygu2mwgytw", new MatchingMnemonicDetail("You give us 22 minutes, we’ll give you the world", "Wins Radio, New York")));</v>
      </c>
    </row>
    <row r="508" spans="1:5" x14ac:dyDescent="0.25">
      <c r="A508" s="4" t="s">
        <v>16</v>
      </c>
      <c r="B508" s="2" t="str">
        <f>SUBSTITUTE(SUBSTITUTE(SUBSTITUTE(SUBSTITUTE(SUBSTITUTE(SUBSTITUTE(TRIM(A508),"""",""), "“", ""),  "”", ""), ".", ""), "–", ""), "‘", "")</f>
        <v>You’re in good hands with Allstate</v>
      </c>
      <c r="C508" s="4" t="s">
        <v>17</v>
      </c>
      <c r="D508" s="3" t="str">
        <f>GetFirstLettersOfAcronym(B508)</f>
        <v>YighwA</v>
      </c>
      <c r="E508" s="3" t="str">
        <f xml:space="preserve"> CONCATENATE("map.add(new MatchingMnemonic(", CHAR(34), D508,  CHAR(34), ", ", "new MatchingMnemonicDetail(", CHAR(34), B508, CHAR(34), ", ", CHAR(34), C508, CHAR(34),")));")</f>
        <v>map.add(new MatchingMnemonic("YighwA", new MatchingMnemonicDetail("You’re in good hands with Allstate", "Allstate Insurance")));</v>
      </c>
    </row>
    <row r="509" spans="1:5" x14ac:dyDescent="0.25">
      <c r="A509" t="s">
        <v>833</v>
      </c>
      <c r="B509" s="2" t="str">
        <f>SUBSTITUTE(SUBSTITUTE(SUBSTITUTE(SUBSTITUTE(SUBSTITUTE(SUBSTITUTE(TRIM(A509),"""",""), "“", ""),  "”", ""), ".", ""), "–", ""), "‘", "")</f>
        <v>You know when you’ve been Tango’d</v>
      </c>
      <c r="C509" t="s">
        <v>936</v>
      </c>
      <c r="D509" s="3" t="str">
        <f>GetFirstLettersOfAcronym(B509)</f>
        <v>YkwybT</v>
      </c>
      <c r="E509" s="3" t="str">
        <f xml:space="preserve"> CONCATENATE("map.add(new MatchingMnemonic(", CHAR(34), D509,  CHAR(34), ", ", "new MatchingMnemonicDetail(", CHAR(34), B509, CHAR(34), ", ", CHAR(34), C509, CHAR(34),")));")</f>
        <v>map.add(new MatchingMnemonic("YkwybT", new MatchingMnemonicDetail("You know when you’ve been Tango’d", "Tango")));</v>
      </c>
    </row>
    <row r="510" spans="1:5" x14ac:dyDescent="0.25">
      <c r="A510" s="2" t="s">
        <v>142</v>
      </c>
      <c r="B510" s="2" t="str">
        <f>SUBSTITUTE(SUBSTITUTE(SUBSTITUTE(SUBSTITUTE(SUBSTITUTE(SUBSTITUTE(TRIM(A510),"""",""), "“", ""),  "”", ""), ".", ""), "–", ""), "‘", "")</f>
        <v>You’ll love the way we fly</v>
      </c>
      <c r="C510" s="2" t="s">
        <v>143</v>
      </c>
      <c r="D510" s="3" t="str">
        <f>GetFirstLettersOfAcronym(B510)</f>
        <v>Yltwwf</v>
      </c>
      <c r="E510" s="3" t="str">
        <f xml:space="preserve"> CONCATENATE("map.add(new MatchingMnemonic(", CHAR(34), D510,  CHAR(34), ", ", "new MatchingMnemonicDetail(", CHAR(34), B510, CHAR(34), ", ", CHAR(34), C510, CHAR(34),")));")</f>
        <v>map.add(new MatchingMnemonic("Yltwwf", new MatchingMnemonicDetail("You’ll love the way we fly", "Delta Airlines")));</v>
      </c>
    </row>
    <row r="511" spans="1:5" ht="28.5" x14ac:dyDescent="0.25">
      <c r="A511" s="4" t="s">
        <v>700</v>
      </c>
      <c r="B511" s="2" t="str">
        <f>SUBSTITUTE(SUBSTITUTE(SUBSTITUTE(SUBSTITUTE(SUBSTITUTE(SUBSTITUTE(TRIM(A511),"""",""), "“", ""),  "”", ""), ".", ""), "–", ""), "‘", "")</f>
        <v>You’re not fully clean until you’re Zestfully clean</v>
      </c>
      <c r="C511" s="4" t="s">
        <v>701</v>
      </c>
      <c r="D511" s="3" t="str">
        <f>GetFirstLettersOfAcronym(B511)</f>
        <v>YnfcuyZc</v>
      </c>
      <c r="E511" s="3" t="str">
        <f xml:space="preserve"> CONCATENATE("map.add(new MatchingMnemonic(", CHAR(34), D511,  CHAR(34), ", ", "new MatchingMnemonicDetail(", CHAR(34), B511, CHAR(34), ", ", CHAR(34), C511, CHAR(34),")));")</f>
        <v>map.add(new MatchingMnemonic("YnfcuyZc", new MatchingMnemonicDetail("You’re not fully clean until you’re Zestfully clean", "Zest Soap")));</v>
      </c>
    </row>
    <row r="512" spans="1:5" x14ac:dyDescent="0.25">
      <c r="A512" t="s">
        <v>883</v>
      </c>
      <c r="B512" s="2" t="str">
        <f>SUBSTITUTE(SUBSTITUTE(SUBSTITUTE(SUBSTITUTE(SUBSTITUTE(SUBSTITUTE(TRIM(A512),"""",""), "“", ""),  "”", ""), ".", ""), "–", ""), "‘", "")</f>
        <v>You Only Get an OO’ With Typhoo</v>
      </c>
      <c r="C512" t="s">
        <v>951</v>
      </c>
      <c r="D512" s="3" t="str">
        <f>GetFirstLettersOfAcronym(B512)</f>
        <v>YOGaOWT</v>
      </c>
      <c r="E512" s="3" t="str">
        <f xml:space="preserve"> CONCATENATE("map.add(new MatchingMnemonic(", CHAR(34), D512,  CHAR(34), ", ", "new MatchingMnemonicDetail(", CHAR(34), B512, CHAR(34), ", ", CHAR(34), C512, CHAR(34),")));")</f>
        <v>map.add(new MatchingMnemonic("YOGaOWT", new MatchingMnemonicDetail("You Only Get an OO’ With Typhoo", "Typhoo")));</v>
      </c>
    </row>
    <row r="513" spans="1:5" x14ac:dyDescent="0.25">
      <c r="A513" s="2" t="s">
        <v>332</v>
      </c>
      <c r="B513" s="2" t="str">
        <f>SUBSTITUTE(SUBSTITUTE(SUBSTITUTE(SUBSTITUTE(SUBSTITUTE(SUBSTITUTE(TRIM(A513),"""",""), "“", ""),  "”", ""), ".", ""), "–", ""), "‘", "")</f>
        <v>Your potential Our passion</v>
      </c>
      <c r="C513" s="2" t="s">
        <v>333</v>
      </c>
      <c r="D513" s="3" t="str">
        <f>GetFirstLettersOfAcronym(B513)</f>
        <v>YpOp</v>
      </c>
      <c r="E513" s="3" t="str">
        <f xml:space="preserve"> CONCATENATE("map.add(new MatchingMnemonic(", CHAR(34), D513,  CHAR(34), ", ", "new MatchingMnemonicDetail(", CHAR(34), B513, CHAR(34), ", ", CHAR(34), C513, CHAR(34),")));")</f>
        <v>map.add(new MatchingMnemonic("YpOp", new MatchingMnemonicDetail("Your potential Our passion", "Microsoft")));</v>
      </c>
    </row>
    <row r="514" spans="1:5" x14ac:dyDescent="0.25">
      <c r="A514" s="4" t="s">
        <v>503</v>
      </c>
      <c r="B514" s="2" t="str">
        <f>SUBSTITUTE(SUBSTITUTE(SUBSTITUTE(SUBSTITUTE(SUBSTITUTE(SUBSTITUTE(TRIM(A514),"""",""), "“", ""),  "”", ""), ".", ""), "–", ""), "‘", "")</f>
        <v>Yo quiero Taco Bell</v>
      </c>
      <c r="C514" s="4" t="s">
        <v>501</v>
      </c>
      <c r="D514" s="3" t="str">
        <f>GetFirstLettersOfAcronym(B514)</f>
        <v>YqTB</v>
      </c>
      <c r="E514" s="3" t="str">
        <f xml:space="preserve"> CONCATENATE("map.add(new MatchingMnemonic(", CHAR(34), D514,  CHAR(34), ", ", "new MatchingMnemonicDetail(", CHAR(34), B514, CHAR(34), ", ", CHAR(34), C514, CHAR(34),")));")</f>
        <v>map.add(new MatchingMnemonic("YqTB", new MatchingMnemonicDetail("Yo quiero Taco Bell", "Taco Bell")));</v>
      </c>
    </row>
    <row r="515" spans="1:5" x14ac:dyDescent="0.25">
      <c r="A515" s="4" t="s">
        <v>151</v>
      </c>
      <c r="B515" s="2" t="str">
        <f>SUBSTITUTE(SUBSTITUTE(SUBSTITUTE(SUBSTITUTE(SUBSTITUTE(SUBSTITUTE(TRIM(A515),"""",""), "“", ""),  "”", ""), ".", ""), "–", ""), "‘", "")</f>
        <v>Yellow The new Brown</v>
      </c>
      <c r="C515" s="4" t="s">
        <v>150</v>
      </c>
      <c r="D515" s="3" t="str">
        <f>GetFirstLettersOfAcronym(B515)</f>
        <v>YTnB</v>
      </c>
      <c r="E515" s="3" t="str">
        <f xml:space="preserve"> CONCATENATE("map.add(new MatchingMnemonic(", CHAR(34), D515,  CHAR(34), ", ", "new MatchingMnemonicDetail(", CHAR(34), B515, CHAR(34), ", ", CHAR(34), C515, CHAR(34),")));")</f>
        <v>map.add(new MatchingMnemonic("YTnB", new MatchingMnemonicDetail("Yellow The new Brown", "DHL")));</v>
      </c>
    </row>
    <row r="516" spans="1:5" x14ac:dyDescent="0.25">
      <c r="A516" s="3" t="s">
        <v>748</v>
      </c>
      <c r="B516" s="2" t="str">
        <f>SUBSTITUTE(SUBSTITUTE(SUBSTITUTE(SUBSTITUTE(SUBSTITUTE(SUBSTITUTE(TRIM(A516),"""",""), "“", ""),  "”", ""), ".", ""), "–", ""), "‘", "")</f>
        <v>Your vision Our future</v>
      </c>
      <c r="C516" s="3" t="s">
        <v>726</v>
      </c>
      <c r="D516" s="3" t="str">
        <f>GetFirstLettersOfAcronym(B516)</f>
        <v>YvOf</v>
      </c>
      <c r="E516" s="3" t="str">
        <f xml:space="preserve"> CONCATENATE("map.add(new MatchingMnemonic(", CHAR(34), D516,  CHAR(34), ", ", "new MatchingMnemonicDetail(", CHAR(34), B516, CHAR(34), ", ", CHAR(34), C516, CHAR(34),")));")</f>
        <v>map.add(new MatchingMnemonic("YvOf", new MatchingMnemonicDetail("Your vision Our future", "Olympus ")));</v>
      </c>
    </row>
    <row r="517" spans="1:5" x14ac:dyDescent="0.25">
      <c r="A517" s="2" t="s">
        <v>664</v>
      </c>
      <c r="B517" s="2" t="str">
        <f>SUBSTITUTE(SUBSTITUTE(SUBSTITUTE(SUBSTITUTE(SUBSTITUTE(SUBSTITUTE(TRIM(A517),"""",""), "“", ""),  "”", ""), ".", ""), "–", ""), "‘", "")</f>
        <v>You’ll wonder where the yellow went when you brush your teeth with Pepsodent</v>
      </c>
      <c r="C517" s="2" t="s">
        <v>665</v>
      </c>
      <c r="D517" s="3" t="str">
        <f>GetFirstLettersOfAcronym(B517)</f>
        <v>YwwtywwybytwP</v>
      </c>
      <c r="E517" s="3" t="str">
        <f xml:space="preserve"> CONCATENATE("map.add(new MatchingMnemonic(", CHAR(34), D517,  CHAR(34), ", ", "new MatchingMnemonicDetail(", CHAR(34), B517, CHAR(34), ", ", CHAR(34), C517, CHAR(34),")));")</f>
        <v>map.add(new MatchingMnemonic("YwwtywwybytwP", new MatchingMnemonicDetail("You’ll wonder where the yellow went when you brush your teeth with Pepsodent", "Pepsodent")));</v>
      </c>
    </row>
    <row r="518" spans="1:5" x14ac:dyDescent="0.25">
      <c r="A518" s="3" t="s">
        <v>746</v>
      </c>
      <c r="B518" s="2" t="str">
        <f>SUBSTITUTE(SUBSTITUTE(SUBSTITUTE(SUBSTITUTE(SUBSTITUTE(SUBSTITUTE(TRIM(A518),"""",""), "“", ""),  "”", ""), ".", ""), "–", ""), "‘", "")</f>
        <v>Zoom Zoom</v>
      </c>
      <c r="C518" s="3" t="s">
        <v>739</v>
      </c>
      <c r="D518" s="3" t="str">
        <f>GetFirstLettersOfAcronym(B518)</f>
        <v>ZZ</v>
      </c>
      <c r="E518" s="3" t="str">
        <f xml:space="preserve"> CONCATENATE("map.add(new MatchingMnemonic(", CHAR(34), D518,  CHAR(34), ", ", "new MatchingMnemonicDetail(", CHAR(34), B518, CHAR(34), ", ", CHAR(34), C518, CHAR(34),")));")</f>
        <v>map.add(new MatchingMnemonic("ZZ", new MatchingMnemonicDetail("Zoom Zoom", "Mazda ")));</v>
      </c>
    </row>
    <row r="519" spans="1:5" x14ac:dyDescent="0.25">
      <c r="A519" s="2" t="s">
        <v>646</v>
      </c>
      <c r="B519" s="2" t="str">
        <f>SUBSTITUTE(SUBSTITUTE(SUBSTITUTE(SUBSTITUTE(SUBSTITUTE(SUBSTITUTE(TRIM(A519),"""",""), "“", ""),  "”", ""), ".", ""), "–", ""), "‘", "")</f>
        <v>Zoom, zoom, zoom</v>
      </c>
      <c r="C519" s="2" t="s">
        <v>318</v>
      </c>
      <c r="D519" s="3" t="str">
        <f>GetFirstLettersOfAcronym(B519)</f>
        <v>Zzz</v>
      </c>
      <c r="E519" s="3" t="str">
        <f xml:space="preserve"> CONCATENATE("map.add(new MatchingMnemonic(", CHAR(34), D519,  CHAR(34), ", ", "new MatchingMnemonicDetail(", CHAR(34), B519, CHAR(34), ", ", CHAR(34), C519, CHAR(34),")));")</f>
        <v>map.add(new MatchingMnemonic("Zzz", new MatchingMnemonicDetail("Zoom, zoom, zoom", "Mazda")));</v>
      </c>
    </row>
  </sheetData>
  <autoFilter ref="A1:C1"/>
  <sortState ref="A2:E634">
    <sortCondition ref="D2:D634"/>
    <sortCondition ref="C2:C63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B196"/>
    </sheetView>
  </sheetViews>
  <sheetFormatPr defaultRowHeight="15" x14ac:dyDescent="0.25"/>
  <cols>
    <col min="1" max="1" width="110.85546875" bestFit="1" customWidth="1"/>
    <col min="2" max="2" width="39.28515625" bestFit="1" customWidth="1"/>
  </cols>
  <sheetData/>
  <sortState ref="A1:B196">
    <sortCondition ref="B1:B196"/>
    <sortCondition ref="A1:A19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2016-01-07T09:38:30Z</dcterms:modified>
</cp:coreProperties>
</file>